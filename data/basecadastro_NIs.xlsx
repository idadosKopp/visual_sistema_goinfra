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lidario\Documents\VISUAL_SISTEMA\data\"/>
    </mc:Choice>
  </mc:AlternateContent>
  <xr:revisionPtr revIDLastSave="0" documentId="13_ncr:1_{BD4927A4-F18E-4486-800B-48ADE7215D97}" xr6:coauthVersionLast="47" xr6:coauthVersionMax="47" xr10:uidLastSave="{00000000-0000-0000-0000-000000000000}"/>
  <bookViews>
    <workbookView xWindow="-120" yWindow="-120" windowWidth="29040" windowHeight="15840" xr2:uid="{8537AF89-D9C2-442B-9112-8E8CA212AD6A}"/>
  </bookViews>
  <sheets>
    <sheet name="NIs_GOINFRA" sheetId="4" r:id="rId1"/>
    <sheet name="3ªNI_Análise" sheetId="9" r:id="rId2"/>
    <sheet name="4ªNI_Análise" sheetId="8" r:id="rId3"/>
    <sheet name="4ª NI 148" sheetId="1" r:id="rId4"/>
    <sheet name="3ª NI 148" sheetId="2" r:id="rId5"/>
    <sheet name="2ª NI 148" sheetId="3" r:id="rId6"/>
    <sheet name="1 NI 150" sheetId="5" r:id="rId7"/>
    <sheet name="2ª NI  150" sheetId="6" r:id="rId8"/>
    <sheet name="3 NI 150" sheetId="7" r:id="rId9"/>
  </sheets>
  <definedNames>
    <definedName name="_xlnm._FilterDatabase" localSheetId="0" hidden="1">NIs_GOINFRA!$A$1:$Q$54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<sst xmlns="http://schemas.openxmlformats.org/spreadsheetml/2006/main" count="1125" uniqueCount="307">
  <si>
    <t>EM.156.L1.255</t>
  </si>
  <si>
    <t>REV</t>
  </si>
  <si>
    <t>156EGO0235</t>
  </si>
  <si>
    <t>GO-156</t>
  </si>
  <si>
    <t>KM 142 + 931M</t>
  </si>
  <si>
    <t>ITABERAÍ</t>
  </si>
  <si>
    <t>PC1-PC2</t>
  </si>
  <si>
    <t>Crescente</t>
  </si>
  <si>
    <t>40 km/h</t>
  </si>
  <si>
    <t>EM.156.L1.258</t>
  </si>
  <si>
    <t>KM 143 + 528M</t>
  </si>
  <si>
    <t>PD1-PD2</t>
  </si>
  <si>
    <t>Decrescente</t>
  </si>
  <si>
    <t>EM.156.L1.260</t>
  </si>
  <si>
    <t>156EGO0240</t>
  </si>
  <si>
    <t>KM 144 + 877M</t>
  </si>
  <si>
    <t>PC1</t>
  </si>
  <si>
    <t>60 km/h</t>
  </si>
  <si>
    <t>EM.156.L1.261</t>
  </si>
  <si>
    <t>KM 144 + 1000M</t>
  </si>
  <si>
    <t>PD1</t>
  </si>
  <si>
    <t>EM.156.L1.262</t>
  </si>
  <si>
    <t>KM 153 + 66M</t>
  </si>
  <si>
    <t>KM 153 + 87M</t>
  </si>
  <si>
    <t>EV.156.L1.517</t>
  </si>
  <si>
    <t>156EGO0250</t>
  </si>
  <si>
    <t>KM 177 + 921M</t>
  </si>
  <si>
    <t>HEITORAÍ</t>
  </si>
  <si>
    <t>EM.156.L1.251</t>
  </si>
  <si>
    <t>156EGO0275</t>
  </si>
  <si>
    <t>KM 202 + 353M</t>
  </si>
  <si>
    <t>ITAPURÂNGA</t>
  </si>
  <si>
    <t>PC1-PD1</t>
  </si>
  <si>
    <t>Crescente/Decrescente</t>
  </si>
  <si>
    <t>EM.164.L1.288</t>
  </si>
  <si>
    <t>164EGO0550</t>
  </si>
  <si>
    <t>GO-164</t>
  </si>
  <si>
    <t>KM 488 + 269M</t>
  </si>
  <si>
    <t>CIDADE DE GOIÁS</t>
  </si>
  <si>
    <t>EM.164.L1.289</t>
  </si>
  <si>
    <t>KM 489 + 423M</t>
  </si>
  <si>
    <t>KM 489 + 464M</t>
  </si>
  <si>
    <t>EM.164.L1.290</t>
  </si>
  <si>
    <t>KM 489 + 709M</t>
  </si>
  <si>
    <t>EM.164.L1.291</t>
  </si>
  <si>
    <t>KM 489 + 736M</t>
  </si>
  <si>
    <t>EM.164.L1.292</t>
  </si>
  <si>
    <t>KM 489 + 880M</t>
  </si>
  <si>
    <t>EM.164.L1.293</t>
  </si>
  <si>
    <t>KM 491 + 550M</t>
  </si>
  <si>
    <t>EM.164.L1.294</t>
  </si>
  <si>
    <t>CEV</t>
  </si>
  <si>
    <t>164EGO0555</t>
  </si>
  <si>
    <t>KM 497 + 512M</t>
  </si>
  <si>
    <t>EM.338.L1.426</t>
  </si>
  <si>
    <t>338EGO0103</t>
  </si>
  <si>
    <t>GO-338</t>
  </si>
  <si>
    <t>KM 141 + 547M</t>
  </si>
  <si>
    <t>GOIANÉSIA</t>
  </si>
  <si>
    <t>EV.E.01.156.0308</t>
  </si>
  <si>
    <t>KM 148 + 000M</t>
  </si>
  <si>
    <t>-15.929201°</t>
  </si>
  <si>
    <t>-49.789908°</t>
  </si>
  <si>
    <t>EV.E.03.156.0339</t>
  </si>
  <si>
    <t>KM 149 + 150M</t>
  </si>
  <si>
    <t>-15.920164°</t>
  </si>
  <si>
    <t>-49.790387°</t>
  </si>
  <si>
    <t>EV.E.03.154.0267</t>
  </si>
  <si>
    <t>154EGO0195 </t>
  </si>
  <si>
    <t>GO-154</t>
  </si>
  <si>
    <t>KM 187+700M</t>
  </si>
  <si>
    <t>URUANA</t>
  </si>
  <si>
    <t>-15.553809° </t>
  </si>
  <si>
    <t>-49.662884°</t>
  </si>
  <si>
    <t>ESTUDO TÉCNICO</t>
  </si>
  <si>
    <t>TIPO DE EQUIPAMENTO</t>
  </si>
  <si>
    <t>SRE</t>
  </si>
  <si>
    <t>RODOVIA</t>
  </si>
  <si>
    <t>COMPLEMENTO</t>
  </si>
  <si>
    <t>MUNICÍPIO</t>
  </si>
  <si>
    <t>LATITUDE</t>
  </si>
  <si>
    <t>LONGITUDE</t>
  </si>
  <si>
    <t>FAIXA</t>
  </si>
  <si>
    <t>Nº DE FAIXAS</t>
  </si>
  <si>
    <t>SENTIDO</t>
  </si>
  <si>
    <t>VELOCIDADE DO EQUIPAMENTO</t>
  </si>
  <si>
    <t>EM.154.L1.247</t>
  </si>
  <si>
    <t>154EGO0215</t>
  </si>
  <si>
    <t>KM 207 + 220M</t>
  </si>
  <si>
    <t>CARMO DO RIO VERDE</t>
  </si>
  <si>
    <t>EM.154.L1.248</t>
  </si>
  <si>
    <t>KM 207 + 600M</t>
  </si>
  <si>
    <t>EM.154.L1.249</t>
  </si>
  <si>
    <t>154EGO0230</t>
  </si>
  <si>
    <t>KM 218 + 305M</t>
  </si>
  <si>
    <t>CERES</t>
  </si>
  <si>
    <t>EM.154.L1.424</t>
  </si>
  <si>
    <t>154EGO0330</t>
  </si>
  <si>
    <t>KM 280 + 59M</t>
  </si>
  <si>
    <t>ITAPACI</t>
  </si>
  <si>
    <t>EM.154.L1.425</t>
  </si>
  <si>
    <t>KM 280 + 182M</t>
  </si>
  <si>
    <t>EV.154.L1.433</t>
  </si>
  <si>
    <t>154EGO0370</t>
  </si>
  <si>
    <t>KM 307 + 11M</t>
  </si>
  <si>
    <t>PILAR DE GOIÁS</t>
  </si>
  <si>
    <t>EM.154.L1.250</t>
  </si>
  <si>
    <t>KM 324 + 22M</t>
  </si>
  <si>
    <t>SANTA TEREZINHA DE GOIÁS</t>
  </si>
  <si>
    <t>EV.154.L1.265_266</t>
  </si>
  <si>
    <t>154EGO0420</t>
  </si>
  <si>
    <t>KM 356 + 592M</t>
  </si>
  <si>
    <t>EM.244.L1.379</t>
  </si>
  <si>
    <t>244EGO0018</t>
  </si>
  <si>
    <t>GO-244</t>
  </si>
  <si>
    <t>KM 58 + 95M</t>
  </si>
  <si>
    <t>PORANGATU</t>
  </si>
  <si>
    <t>EM.244.L1.380</t>
  </si>
  <si>
    <t>KM 58 + 230M</t>
  </si>
  <si>
    <t>EM.244.L1.381</t>
  </si>
  <si>
    <t>244EGO0020</t>
  </si>
  <si>
    <t>KM 60 + 710M</t>
  </si>
  <si>
    <t>EM.244.L1.382</t>
  </si>
  <si>
    <t>KM 60 + 863M</t>
  </si>
  <si>
    <t>EV.244.L1.278_279</t>
  </si>
  <si>
    <t>244EGO0030</t>
  </si>
  <si>
    <t>KM 140 + 340M</t>
  </si>
  <si>
    <t>NOVO PLANALTO</t>
  </si>
  <si>
    <t>EM.244.L1.384</t>
  </si>
  <si>
    <t>KM 178 + 433M</t>
  </si>
  <si>
    <t>SÃO MIGUEL DO ARAGUAIA</t>
  </si>
  <si>
    <t>EM.244.L1.383</t>
  </si>
  <si>
    <t>KM 178 + 490M</t>
  </si>
  <si>
    <t>EM.347.L1.434</t>
  </si>
  <si>
    <t>347EGO0060</t>
  </si>
  <si>
    <t>GO-347</t>
  </si>
  <si>
    <t>KM 54 + 712M</t>
  </si>
  <si>
    <t>MOZARLÂNDIA</t>
  </si>
  <si>
    <t>EM.347.L1.436</t>
  </si>
  <si>
    <t>347EGO0070</t>
  </si>
  <si>
    <t>KM 55 + 917M</t>
  </si>
  <si>
    <t>EM.347.L1.435</t>
  </si>
  <si>
    <t>KM 55 + 995M</t>
  </si>
  <si>
    <t>EM.347.L1.437C</t>
  </si>
  <si>
    <t>347EGO0130</t>
  </si>
  <si>
    <t>KM 141 + 701M</t>
  </si>
  <si>
    <t>CRIXÁS</t>
  </si>
  <si>
    <t>EM.347.L1.437D</t>
  </si>
  <si>
    <t>KM 141 + 736M</t>
  </si>
  <si>
    <t>EV.347.L1.451</t>
  </si>
  <si>
    <t>347EGO0190</t>
  </si>
  <si>
    <t>KM 239 + 417M</t>
  </si>
  <si>
    <t>ALTO HORIZONTE</t>
  </si>
  <si>
    <t>ET.427.L1.447</t>
  </si>
  <si>
    <t>427EGO0030</t>
  </si>
  <si>
    <t>GO-427</t>
  </si>
  <si>
    <t>KM 54 + 595M</t>
  </si>
  <si>
    <t>JARAGUÁ</t>
  </si>
  <si>
    <t>80 km/h</t>
  </si>
  <si>
    <t>EM.427.L1.449</t>
  </si>
  <si>
    <t>427EGO0040</t>
  </si>
  <si>
    <t>KM 58 + 142M</t>
  </si>
  <si>
    <t>EM.427.L1.448</t>
  </si>
  <si>
    <t>KM 58 + 159M</t>
  </si>
  <si>
    <t>EM.427.L1.450</t>
  </si>
  <si>
    <t>KM 58 + 570M</t>
  </si>
  <si>
    <t>EM.427.L1.451</t>
  </si>
  <si>
    <t>KM 58 + 612M</t>
  </si>
  <si>
    <t>070EGO0210</t>
  </si>
  <si>
    <t>GO-070</t>
  </si>
  <si>
    <t>KM 127 + 450M</t>
  </si>
  <si>
    <t>GOIÁS</t>
  </si>
  <si>
    <t>336EGO0077</t>
  </si>
  <si>
    <t>GO-336</t>
  </si>
  <si>
    <t>KM 102 + 580M</t>
  </si>
  <si>
    <t>336EGO0030</t>
  </si>
  <si>
    <t>KM 017 + 760M</t>
  </si>
  <si>
    <t>KM 017 + 920M</t>
  </si>
  <si>
    <t>164EGO0900</t>
  </si>
  <si>
    <t>KM 851 + 400M</t>
  </si>
  <si>
    <t>KM 852 + 600M</t>
  </si>
  <si>
    <t>173EGO0050</t>
  </si>
  <si>
    <t>GO-173</t>
  </si>
  <si>
    <t>94+150M</t>
  </si>
  <si>
    <t>SANTA FÉ DE GOIÁS</t>
  </si>
  <si>
    <t>173GO0070</t>
  </si>
  <si>
    <t>94+800M</t>
  </si>
  <si>
    <t>173EGO0070</t>
  </si>
  <si>
    <t>95+600M</t>
  </si>
  <si>
    <t>LATITUDE°</t>
  </si>
  <si>
    <t>LONGITUDE°</t>
  </si>
  <si>
    <t>GO-060</t>
  </si>
  <si>
    <t>IPORÁ</t>
  </si>
  <si>
    <t>060EGO0240</t>
  </si>
  <si>
    <t>GO-174</t>
  </si>
  <si>
    <t>RIO VERDE</t>
  </si>
  <si>
    <t>CHAPADÃO DO CÉU</t>
  </si>
  <si>
    <t>EM.050.L5.076</t>
  </si>
  <si>
    <t>050EGO0420</t>
  </si>
  <si>
    <t>GO-050</t>
  </si>
  <si>
    <t>KM 529 + 795M</t>
  </si>
  <si>
    <t>EM.060.L5.121</t>
  </si>
  <si>
    <t>KM 261 + 338M</t>
  </si>
  <si>
    <t>DIORAMA</t>
  </si>
  <si>
    <t>EM.060.L5.122</t>
  </si>
  <si>
    <t>060EGO0242</t>
  </si>
  <si>
    <t>KM 262 + 869M</t>
  </si>
  <si>
    <t>ARENÓPOLIS</t>
  </si>
  <si>
    <t>EM.164.L5.268</t>
  </si>
  <si>
    <t>164EGO0070</t>
  </si>
  <si>
    <t>KM 67 + 954M</t>
  </si>
  <si>
    <t>SÃO SIMÃO</t>
  </si>
  <si>
    <t>EM.174.L5.306</t>
  </si>
  <si>
    <t>174EGO0130</t>
  </si>
  <si>
    <t>KM 218 + 824M</t>
  </si>
  <si>
    <t>EM.174.L5.308</t>
  </si>
  <si>
    <t>174EGO0210</t>
  </si>
  <si>
    <t>KM 285 + 38M</t>
  </si>
  <si>
    <t>MONTIVIDIÚ</t>
  </si>
  <si>
    <t>EM.174.L5.309</t>
  </si>
  <si>
    <t>KM 285 + 314M</t>
  </si>
  <si>
    <t>EV.220.L5.271_272</t>
  </si>
  <si>
    <t>220EGO0092</t>
  </si>
  <si>
    <t>GO-220</t>
  </si>
  <si>
    <t>KM 120 + 190M</t>
  </si>
  <si>
    <t>PEROLÂNDIA</t>
  </si>
  <si>
    <t>EV.221.L5.518</t>
  </si>
  <si>
    <t>221EGO0010</t>
  </si>
  <si>
    <t>GO-221</t>
  </si>
  <si>
    <t>KM 7 + 409M</t>
  </si>
  <si>
    <t>EV.221.L5.360_361</t>
  </si>
  <si>
    <t>221EGO0050</t>
  </si>
  <si>
    <t>KM 99 + 783M</t>
  </si>
  <si>
    <t>CAIAPÔNIA</t>
  </si>
  <si>
    <t>EM.302.L5.385</t>
  </si>
  <si>
    <t>302EGO0050</t>
  </si>
  <si>
    <t>GO-302</t>
  </si>
  <si>
    <t>KM 82 + 434M</t>
  </si>
  <si>
    <t>ITAJÁ</t>
  </si>
  <si>
    <t>EM.341.L5.432</t>
  </si>
  <si>
    <t>341EGO0050</t>
  </si>
  <si>
    <t>GO-341</t>
  </si>
  <si>
    <t>KM 108 + 537M</t>
  </si>
  <si>
    <t>MINEIROS</t>
  </si>
  <si>
    <t>EM.341.L5.431</t>
  </si>
  <si>
    <t>KM 108 + 789M</t>
  </si>
  <si>
    <t>EM.341.L5.430</t>
  </si>
  <si>
    <t>KM 109 + 482M</t>
  </si>
  <si>
    <t>EM.572.L5.492</t>
  </si>
  <si>
    <t>572EGO0010</t>
  </si>
  <si>
    <t>GO-572</t>
  </si>
  <si>
    <t>KM 0 + 147M</t>
  </si>
  <si>
    <t>EM.572.L5.493</t>
  </si>
  <si>
    <t>KM 0 + 245M</t>
  </si>
  <si>
    <t>EM.572.L5.494</t>
  </si>
  <si>
    <t>KM 0 + 435M</t>
  </si>
  <si>
    <t>060EGO0246</t>
  </si>
  <si>
    <t>KM 278+600</t>
  </si>
  <si>
    <t>ARENOPÓLIS</t>
  </si>
  <si>
    <t>3ª NI (SEI 85890843)</t>
  </si>
  <si>
    <t>3ª NI (SEI 85884132)</t>
  </si>
  <si>
    <t>4ª NI (SEI 87501948)</t>
  </si>
  <si>
    <t>KM 187+820M</t>
  </si>
  <si>
    <t>-15.552806°</t>
  </si>
  <si>
    <t>-49.663123°</t>
  </si>
  <si>
    <t>NI</t>
  </si>
  <si>
    <t>EV.221.L5.340</t>
  </si>
  <si>
    <t>KM 000 + 005M</t>
  </si>
  <si>
    <t>EV.221.L5.341</t>
  </si>
  <si>
    <t>KM 000 + 000M</t>
  </si>
  <si>
    <t>2ª NI (SEI 85370789)</t>
  </si>
  <si>
    <t>EV.E.01.070.0226</t>
  </si>
  <si>
    <t>EV.E.01.336.0228</t>
  </si>
  <si>
    <t>EV.E.01.336.0223</t>
  </si>
  <si>
    <t>EV.E.01.164.0319</t>
  </si>
  <si>
    <t>EVE.01.173.0333</t>
  </si>
  <si>
    <t>EVE.05.060.328</t>
  </si>
  <si>
    <t>Rótulos de Linha</t>
  </si>
  <si>
    <t>Total Geral</t>
  </si>
  <si>
    <t>Soma de Nº DE FAIXAS</t>
  </si>
  <si>
    <t>Rótulos de Coluna</t>
  </si>
  <si>
    <t>&gt; estudos não constam no SISGO</t>
  </si>
  <si>
    <t>EV.E.05.060.328</t>
  </si>
  <si>
    <t>ESTUDO_TECNICO</t>
  </si>
  <si>
    <t>TIPO_DE_EQUIPAMENTO</t>
  </si>
  <si>
    <t>SER</t>
  </si>
  <si>
    <t>MUNICIPIO</t>
  </si>
  <si>
    <t>id_rota</t>
  </si>
  <si>
    <t>TIM</t>
  </si>
  <si>
    <t>CLARO</t>
  </si>
  <si>
    <t>VIVO</t>
  </si>
  <si>
    <t>1_Centro</t>
  </si>
  <si>
    <t>2_Norte</t>
  </si>
  <si>
    <t>3_Oeste</t>
  </si>
  <si>
    <t>4G e 3G</t>
  </si>
  <si>
    <t>SEM COBERTURA</t>
  </si>
  <si>
    <t>4G</t>
  </si>
  <si>
    <t>3G ( boa para smartphone)</t>
  </si>
  <si>
    <t>5G, 4G e 3G</t>
  </si>
  <si>
    <t>2G</t>
  </si>
  <si>
    <t>4G e 3G (Boa p/ Roteador, Modem, Tablet, Smartphone)</t>
  </si>
  <si>
    <t>4G (Boa p/ Smartphone)</t>
  </si>
  <si>
    <t>EV.E.01.164.0320</t>
  </si>
  <si>
    <t>4_Sudoeste</t>
  </si>
  <si>
    <t>3G ( Boa p/ Smartphone)</t>
  </si>
  <si>
    <t>3G (Boa p/ Smartphone)</t>
  </si>
  <si>
    <t>-51.559563°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</si>
</sst>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ck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FFFF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5" borderId="0" xfId="0" applyFill="1" applyAlignment="1">
      <alignment horizontal="left" indent="1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6" borderId="13" xfId="0" applyFont="1" applyFill="1" applyBorder="1" applyAlignment="1">
      <alignment horizontal="center" wrapText="1"/>
    </xf>
    <xf numFmtId="0" fontId="2" fillId="7" borderId="13" xfId="0" applyFont="1" applyFill="1" applyBorder="1" applyAlignment="1">
      <alignment horizontal="center" wrapText="1"/>
    </xf>
    <xf numFmtId="0" fontId="2" fillId="7" borderId="14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 wrapText="1"/>
    </xf>
    <xf numFmtId="0" fontId="5" fillId="3" borderId="17" xfId="0" applyFont="1" applyFill="1" applyBorder="1" applyAlignment="1">
      <alignment horizontal="center" wrapText="1"/>
    </xf>
    <xf numFmtId="0" fontId="5" fillId="4" borderId="15" xfId="0" applyFont="1" applyFill="1" applyBorder="1" applyAlignment="1">
      <alignment horizontal="center" wrapText="1"/>
    </xf>
    <xf numFmtId="0" fontId="5" fillId="4" borderId="16" xfId="0" applyFont="1" applyFill="1" applyBorder="1" applyAlignment="1">
      <alignment horizontal="center" wrapText="1"/>
    </xf>
    <xf numFmtId="0" fontId="5" fillId="4" borderId="17" xfId="0" applyFont="1" applyFill="1" applyBorder="1" applyAlignment="1">
      <alignment horizontal="center" wrapText="1"/>
    </xf>
    <xf numFmtId="0" fontId="5" fillId="8" borderId="14" xfId="0" applyFont="1" applyFill="1" applyBorder="1" applyAlignment="1">
      <alignment horizontal="center" wrapText="1"/>
    </xf>
    <xf numFmtId="3" fontId="5" fillId="3" borderId="16" xfId="0" applyNumberFormat="1" applyFont="1" applyFill="1" applyBorder="1" applyAlignment="1">
      <alignment horizontal="center" wrapText="1"/>
    </xf>
    <xf numFmtId="0" fontId="6" fillId="8" borderId="14" xfId="0" applyFont="1" applyFill="1" applyBorder="1" applyAlignment="1">
      <alignment wrapText="1"/>
    </xf>
    <xf numFmtId="0" fontId="6" fillId="0" borderId="14" xfId="0" applyFont="1" applyBorder="1" applyAlignment="1">
      <alignment wrapText="1"/>
    </xf>
  </cellXfs>
  <cellStyles count="1">
    <cellStyle name="Normal" xfId="0" builtinId="0"/>
  </cellStyles>
  <dxfs count="2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na Lixinski" refreshedDate="46096.727294097225" createdVersion="8" refreshedVersion="8" minRefreshableVersion="3" recordCount="153" xr:uid="{9DAB3A24-5F4C-4CF8-920E-17CFB0DE2566}">
  <cacheSource type="worksheet">
    <worksheetSource ref="A1:M1048576" sheet="NIs_GOINFRA"/>
  </cacheSource>
  <cacheFields count="13">
    <cacheField name="NI" numFmtId="0">
      <sharedItems containsBlank="1" count="8">
        <s v="1ª NI (SEI 84541915)"/>
        <s v="2ª NI (SEI 84820464)"/>
        <s v="3ª NI (SEI 85884132)"/>
        <s v="1ª NI (SEI 84541289)"/>
        <s v="2ª NI (SEI 85370789)"/>
        <s v="3ª NI (SEI 85890843)"/>
        <s v="4ª NI (SEI 87501948)"/>
        <m/>
      </sharedItems>
    </cacheField>
    <cacheField name="ESTUDO TÉCNICO" numFmtId="0">
      <sharedItems containsBlank="1" count="143">
        <s v="EV.080.L1.287"/>
        <s v="EM.080.L1.204"/>
        <s v="EM.080.L1.205"/>
        <s v="EV.080.L1.512"/>
        <s v="EM.080.L1.207"/>
        <s v="EM.080.L1.208"/>
        <s v="EM.080.L1.206"/>
        <s v="EM.080.L1.209"/>
        <s v="EM.080.L1.210"/>
        <s v="EM.080.L1.211"/>
        <s v="EV.080.L1.261_262"/>
        <s v="EV.154.L1.524"/>
        <s v="EV.154.L1.525"/>
        <s v="EV.154.L1.522"/>
        <s v="EV.154.L1.523"/>
        <s v="EV.154.L1.464"/>
        <s v="EV.154.L1.058_059"/>
        <s v="EM.156.L1.259"/>
        <s v="EM.156.L1.263"/>
        <s v="EM.156.L1.264"/>
        <s v="EM.156.L1.265"/>
        <s v="EM.156.L1.266"/>
        <s v="EV.156.L1.071_072"/>
        <s v="EV.164.L1.029"/>
        <s v="EM.164.L1.496"/>
        <s v="EV.164.L1.362"/>
        <s v="EV.164.L1.363"/>
        <s v="EV.164.L1.267_268"/>
        <s v="EM.173.L1.304"/>
        <s v="EV.230.L1.519"/>
        <s v="EV.230.L1.520"/>
        <s v="EV.230.L1.521"/>
        <s v="EM.230.L1.358"/>
        <s v="EM.230.L1.359"/>
        <s v="EV.A.01.154.0101"/>
        <s v="EV.E.01.239.0276"/>
        <s v="EV.E.01.454.0277"/>
        <s v="EV.E.01.164.0300"/>
        <s v="EV.E.01.164.0301"/>
        <s v="EM.154.L1.247"/>
        <s v="EM.154.L1.248"/>
        <s v="EM.154.L1.249"/>
        <s v="EM.154.L1.424"/>
        <s v="EM.154.L1.425"/>
        <s v="EV.154.L1.433"/>
        <s v="EM.154.L1.250"/>
        <s v="EV.154.L1.265_266"/>
        <s v="EM.244.L1.379"/>
        <s v="EM.244.L1.380"/>
        <s v="EM.244.L1.381"/>
        <s v="EM.244.L1.382"/>
        <s v="EV.244.L1.278_279"/>
        <s v="EM.244.L1.384"/>
        <s v="EM.244.L1.383"/>
        <s v="EM.347.L1.434"/>
        <s v="EM.347.L1.436"/>
        <s v="EM.347.L1.435"/>
        <s v="EM.347.L1.437C"/>
        <s v="EM.347.L1.437D"/>
        <s v="EV.347.L1.451"/>
        <s v="ET.427.L1.447"/>
        <s v="EM.427.L1.449"/>
        <s v="EM.427.L1.448"/>
        <s v="EM.427.L1.450"/>
        <s v="EM.427.L1.451"/>
        <s v="EV.E.01.070.0226"/>
        <s v="EV.E.01.336.0228"/>
        <s v="EV.E.01.336.0223"/>
        <s v="EV.E.01.164.0319"/>
        <s v="EV.E.01.164.0320 "/>
        <s v="EVE.01.173.0333"/>
        <s v="EM.060.L5.119"/>
        <s v="EM.060.L5.120"/>
        <s v="EM.164.L5.269"/>
        <s v="EM.164.L5.270"/>
        <s v="EM.164.L5.271"/>
        <s v="EV.164.L5.498"/>
        <s v="EV.164.L5.499"/>
        <s v="EV.164.L5.500"/>
        <s v="EV.164.L5.501"/>
        <s v="EV.164.L5.502"/>
        <s v="EV.164.L5.503"/>
        <s v="EM.174.L5.307"/>
        <s v="EM.174.L5.310"/>
        <s v="EM.174.L5.311"/>
        <s v="EM.174.L5.316"/>
        <s v="EM.174.L5.315"/>
        <s v="EM.174.L5.314"/>
        <s v="EM.174.L5.313"/>
        <s v="EM.174.L5.312"/>
        <s v="EV.184.L5.481"/>
        <s v="EV.184.L5.480"/>
        <s v="EM.206.L5.317"/>
        <s v="EM.206.L5.318"/>
        <s v="EM.206.L5.319"/>
        <s v="EM.206.L5.320"/>
        <s v="EM.206.L5.321"/>
        <s v="EM.206.L5.322"/>
        <s v="EV.210.L5.222"/>
        <s v="EV.210.L5.223"/>
        <s v="EV.210.L5.269"/>
        <s v="EV.210.L5.270"/>
        <s v="EV.210.L5.221"/>
        <s v="EV.210.L5.220"/>
        <s v="EV.221.L5.340"/>
        <s v="EV.221.L5.341"/>
        <s v="EM.050.L5.076"/>
        <s v="EM.060.L5.121"/>
        <s v="EM.060.L5.122"/>
        <s v="EM.164.L5.268"/>
        <s v="EM.174.L5.306"/>
        <s v="EM.174.L5.308"/>
        <s v="EM.174.L5.309"/>
        <s v="EV.220.L5.271_272"/>
        <s v="EV.221.L5.518"/>
        <s v="EV.221.L5.360_361"/>
        <s v="EM.302.L5.385"/>
        <s v="EM.341.L5.432"/>
        <s v="EM.341.L5.431"/>
        <s v="EM.341.L5.430"/>
        <s v="EM.572.L5.492"/>
        <s v="EM.572.L5.493"/>
        <s v="EM.572.L5.494"/>
        <s v="EVE.05.060.328"/>
        <s v="EM.156.L1.255"/>
        <s v="EM.156.L1.258"/>
        <s v="EM.156.L1.260"/>
        <s v="EM.156.L1.261"/>
        <s v="EM.156.L1.262"/>
        <s v="EV.156.L1.517"/>
        <s v="EM.156.L1.251"/>
        <s v="EM.164.L1.288"/>
        <s v="EM.164.L1.289"/>
        <s v="EM.164.L1.290"/>
        <s v="EM.164.L1.291"/>
        <s v="EM.164.L1.292"/>
        <s v="EM.164.L1.293"/>
        <s v="EM.164.L1.294"/>
        <s v="EM.338.L1.426"/>
        <s v="EV.E.01.156.0308"/>
        <s v="EV.E.03.156.0339"/>
        <s v="EV.E.03.154.0267"/>
        <m/>
      </sharedItems>
    </cacheField>
    <cacheField name="TIPO DE EQUIPAMENTO" numFmtId="0">
      <sharedItems containsBlank="1" count="3">
        <s v="REV"/>
        <s v="CEV"/>
        <m/>
      </sharedItems>
    </cacheField>
    <cacheField name="SRE" numFmtId="0">
      <sharedItems containsBlank="1"/>
    </cacheField>
    <cacheField name="RODOVIA" numFmtId="0">
      <sharedItems containsBlank="1"/>
    </cacheField>
    <cacheField name="COMPLEMENTO" numFmtId="0">
      <sharedItems containsBlank="1"/>
    </cacheField>
    <cacheField name="MUNICÍPIO" numFmtId="0">
      <sharedItems containsBlank="1" count="47">
        <s v="JARAGUÁ"/>
        <s v="GOIANÉSIA"/>
        <s v="BARRO ALTO"/>
        <s v="URUANA"/>
        <s v="SANTA TEREZINHA DE GOIÁS"/>
        <s v="CAMPOS VERDES"/>
        <s v="ITABERAÍ"/>
        <s v="ITAPURÂNGA"/>
        <s v="CRIXÁS"/>
        <s v="CIDADE DE GOIÁS"/>
        <s v="NOVA CRIXÁS"/>
        <s v="BRITÂNIA"/>
        <s v="Mundo Novo"/>
        <s v="Faina"/>
        <s v="CARMO DO RIO VERDE"/>
        <s v="CERES"/>
        <s v="ITAPACI"/>
        <s v="PILAR DE GOIÁS"/>
        <s v="PORANGATU"/>
        <s v="NOVO PLANALTO"/>
        <s v="SÃO MIGUEL DO ARAGUAIA"/>
        <s v="MOZARLÂNDIA"/>
        <s v="ALTO HORIZONTE"/>
        <s v="GOIÁS"/>
        <s v="CRIXAS"/>
        <s v="SANTA FÉ DE GOIÁS"/>
        <s v="IPORÁ"/>
        <s v="PARANAIGUARA"/>
        <s v="QUIRINÓPOLIS"/>
        <s v="SANTA HELENA"/>
        <s v="RIO VERDE"/>
        <s v="AMORINÓPOLIS"/>
        <s v="JATAÍ"/>
        <s v="CAÇÚ"/>
        <s v="ITARUMÃ"/>
        <s v="CHAPADÃO DO CÉU"/>
        <s v="DIORAMA"/>
        <s v="ARENÓPOLIS"/>
        <s v="SÃO SIMÃO"/>
        <s v="MONTIVIDIÚ"/>
        <s v="PEROLÂNDIA"/>
        <s v="CAIAPÔNIA"/>
        <s v="ITAJÁ"/>
        <s v="MINEIROS"/>
        <s v="ARENOPÓLIS"/>
        <s v="HEITORAÍ"/>
        <m/>
      </sharedItems>
    </cacheField>
    <cacheField name="LATITUDE" numFmtId="0">
      <sharedItems containsBlank="1" containsMixedTypes="1" containsNumber="1" minValue="-15775700" maxValue="-13.075587000000001"/>
    </cacheField>
    <cacheField name="LONGITUDE" numFmtId="0">
      <sharedItems containsBlank="1" containsMixedTypes="1" containsNumber="1" minValue="-51097877" maxValue="-49.134962000000002"/>
    </cacheField>
    <cacheField name="FAIXA" numFmtId="0">
      <sharedItems containsBlank="1"/>
    </cacheField>
    <cacheField name="Nº DE FAIXAS" numFmtId="0">
      <sharedItems containsString="0" containsBlank="1" containsNumber="1" containsInteger="1" minValue="1" maxValue="4"/>
    </cacheField>
    <cacheField name="SENTIDO" numFmtId="0">
      <sharedItems containsBlank="1"/>
    </cacheField>
    <cacheField name="VELOCIDADE DO EQUIPA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x v="0"/>
    <x v="0"/>
    <s v="080EGO0230"/>
    <s v="GO-080"/>
    <s v="KM 112 + 76M"/>
    <x v="0"/>
    <s v="-15,72175°"/>
    <s v="-49,316924°"/>
    <s v="PC1"/>
    <n v="1"/>
    <s v="Crescente"/>
    <s v="60 km/h"/>
  </r>
  <r>
    <x v="0"/>
    <x v="1"/>
    <x v="1"/>
    <s v="080EGO0230"/>
    <s v="GO-080"/>
    <s v="KM 129 + 188M"/>
    <x v="0"/>
    <s v="-15,577862°"/>
    <s v="-49,287865°"/>
    <s v="PC1"/>
    <n v="1"/>
    <s v="Crescente"/>
    <s v="80 km/h"/>
  </r>
  <r>
    <x v="0"/>
    <x v="2"/>
    <x v="1"/>
    <s v="080EGO0230"/>
    <s v="GO-080"/>
    <s v="KM 132 + 346M"/>
    <x v="0"/>
    <s v="-15,569012°"/>
    <s v="-49,262689°"/>
    <s v="PC1-PD1"/>
    <n v="2"/>
    <s v="Crescente/Decrescente"/>
    <s v="80 km/h"/>
  </r>
  <r>
    <x v="0"/>
    <x v="3"/>
    <x v="0"/>
    <s v="080EGO0230"/>
    <s v="GO-080"/>
    <s v="KM 144 + 341M"/>
    <x v="1"/>
    <s v="-15,489266°"/>
    <s v="-49,194147°"/>
    <s v="PC1-PD1"/>
    <n v="2"/>
    <s v="Crescente/Decrescente"/>
    <s v="60 km/h"/>
  </r>
  <r>
    <x v="0"/>
    <x v="4"/>
    <x v="0"/>
    <s v="080EGO0245"/>
    <s v="GO-080"/>
    <s v="KM 165 + 48M"/>
    <x v="1"/>
    <s v="-15,332501°"/>
    <s v="-49,108369°"/>
    <s v="PC1-PC2-PD1-PD2"/>
    <n v="4"/>
    <s v="Crescente/Decrescente"/>
    <s v="40 km/h"/>
  </r>
  <r>
    <x v="0"/>
    <x v="5"/>
    <x v="0"/>
    <s v="080EGO0249"/>
    <s v="GO-080"/>
    <s v="KM 166 + 492M"/>
    <x v="1"/>
    <s v="-15,31939°"/>
    <s v="-49,10841°"/>
    <s v="PC1-PC2"/>
    <n v="2"/>
    <s v="Crescente"/>
    <s v="60 km/h"/>
  </r>
  <r>
    <x v="0"/>
    <x v="5"/>
    <x v="0"/>
    <s v="080EGO0249"/>
    <s v="GO-080"/>
    <s v="KM 166 + 501M"/>
    <x v="1"/>
    <s v="-15,319311°"/>
    <s v="-49,108547°"/>
    <s v="PD1-PD2"/>
    <n v="2"/>
    <s v="Decrescente"/>
    <s v="60 km/h"/>
  </r>
  <r>
    <x v="0"/>
    <x v="6"/>
    <x v="0"/>
    <s v="080EGO0249"/>
    <s v="GO-080"/>
    <s v="KM 167 + 205M"/>
    <x v="1"/>
    <s v="-15,31296°"/>
    <s v="-49,1088°"/>
    <s v="PC1-PC2-PD1-PD2"/>
    <n v="4"/>
    <s v="Crescente/Decrescente"/>
    <s v="60 km/h"/>
  </r>
  <r>
    <x v="0"/>
    <x v="7"/>
    <x v="0"/>
    <s v="080EGO0250"/>
    <s v="GO-080"/>
    <s v="KM 170 + 466M"/>
    <x v="1"/>
    <s v="-15,299703°"/>
    <s v="-49,086127°"/>
    <s v="PC1-PD1"/>
    <n v="2"/>
    <s v="Crescente/Decrescente"/>
    <s v="60 km/h"/>
  </r>
  <r>
    <x v="0"/>
    <x v="8"/>
    <x v="0"/>
    <s v="080EGO0250"/>
    <s v="GO-080"/>
    <s v="KM 187 + 890M"/>
    <x v="1"/>
    <s v="-15,191481°"/>
    <s v="-48,978016°"/>
    <s v="PC1"/>
    <n v="1"/>
    <s v="Crescente"/>
    <s v="60 km/h"/>
  </r>
  <r>
    <x v="0"/>
    <x v="9"/>
    <x v="0"/>
    <s v="080EGO0250"/>
    <s v="GO-080"/>
    <s v="KM 188 + 108M"/>
    <x v="1"/>
    <s v="-15,189766°"/>
    <s v="-48,977002°"/>
    <s v="PD1"/>
    <n v="1"/>
    <s v="Decrescente"/>
    <s v="60 km/h"/>
  </r>
  <r>
    <x v="0"/>
    <x v="10"/>
    <x v="0"/>
    <s v="080EGO0250"/>
    <s v="GO-080"/>
    <s v="KM 200 + 935M"/>
    <x v="2"/>
    <s v="-15,090508°"/>
    <s v="-48,915823°"/>
    <s v="PC1-PD1"/>
    <n v="2"/>
    <s v="Crescente/Decrescente"/>
    <s v="60 km/h"/>
  </r>
  <r>
    <x v="0"/>
    <x v="11"/>
    <x v="0"/>
    <s v="154EGO0195"/>
    <s v="GO-154"/>
    <s v="KM 186 + 701M"/>
    <x v="3"/>
    <s v="-15,521152°"/>
    <s v="-49,673842°"/>
    <s v="PC1"/>
    <n v="1"/>
    <s v="Crescente"/>
    <s v="60 km/h"/>
  </r>
  <r>
    <x v="0"/>
    <x v="12"/>
    <x v="0"/>
    <s v="154EGO0195"/>
    <s v="GO-154"/>
    <s v="KM 186 + 796M"/>
    <x v="3"/>
    <s v="-15,520417°"/>
    <s v="-49,674292°"/>
    <s v="PD1"/>
    <n v="1"/>
    <s v="Decrescente"/>
    <s v="60 km/h"/>
  </r>
  <r>
    <x v="0"/>
    <x v="13"/>
    <x v="0"/>
    <s v="154EGO0210"/>
    <s v="GO-154"/>
    <s v="KM 190 + 863M"/>
    <x v="3"/>
    <s v="-15,494941°"/>
    <s v="-49,693084°"/>
    <s v="PC1"/>
    <n v="1"/>
    <s v="Crescente"/>
    <s v="40 km/h"/>
  </r>
  <r>
    <x v="0"/>
    <x v="14"/>
    <x v="0"/>
    <s v="154EGO0210"/>
    <s v="GO-154"/>
    <s v="KM 190 + 947M"/>
    <x v="3"/>
    <s v="-15,494439°"/>
    <s v="-49,693685°"/>
    <s v="PD1"/>
    <n v="1"/>
    <s v="Decrescente"/>
    <s v="40 km/h"/>
  </r>
  <r>
    <x v="0"/>
    <x v="15"/>
    <x v="0"/>
    <s v="154EGO0420"/>
    <s v="GO-154"/>
    <s v="KM 349 + 24M"/>
    <x v="4"/>
    <s v="-14,409214°"/>
    <s v="-49,701111°"/>
    <s v="PC1"/>
    <n v="1"/>
    <s v="Crescente"/>
    <s v="60 km/h"/>
  </r>
  <r>
    <x v="0"/>
    <x v="16"/>
    <x v="0"/>
    <s v="154EGO0422"/>
    <s v="GO-154"/>
    <s v="KM 364 + 916M"/>
    <x v="5"/>
    <s v="-14,283912°"/>
    <s v="-49,656728°"/>
    <s v="PC1-PD1"/>
    <n v="2"/>
    <s v="Crescente/Decrescente"/>
    <s v="40 km/h"/>
  </r>
  <r>
    <x v="0"/>
    <x v="17"/>
    <x v="1"/>
    <s v="156EGO0240"/>
    <s v="GO-156"/>
    <s v="KM 145 + 668M"/>
    <x v="6"/>
    <s v="-15,990727°"/>
    <s v="-49,790555°"/>
    <s v="PC1-PD1"/>
    <n v="2"/>
    <s v="Crescente/Decrescente"/>
    <s v="60 km/h"/>
  </r>
  <r>
    <x v="0"/>
    <x v="18"/>
    <x v="1"/>
    <s v="156EGO0240"/>
    <s v="GO-156"/>
    <s v="KM 159 + 96M"/>
    <x v="6"/>
    <s v="-15,871238°"/>
    <s v="-49,785916°"/>
    <s v="PC1"/>
    <n v="1"/>
    <s v="Crescente"/>
    <s v="60 km/h"/>
  </r>
  <r>
    <x v="0"/>
    <x v="19"/>
    <x v="1"/>
    <s v="156EGO0240"/>
    <s v="GO-156"/>
    <s v="KM 159 + 572M"/>
    <x v="6"/>
    <s v="-15,867294°"/>
    <s v="-49,787345°"/>
    <s v="PD1"/>
    <n v="1"/>
    <s v="Decrescente"/>
    <s v="60 km/h"/>
  </r>
  <r>
    <x v="0"/>
    <x v="20"/>
    <x v="1"/>
    <s v="156EGO0270"/>
    <s v="GO-156"/>
    <s v="KM 192 + 189M"/>
    <x v="7"/>
    <s v="-15,603815°"/>
    <s v="-49,852696°"/>
    <s v="PC1"/>
    <n v="1"/>
    <s v="Crescente"/>
    <s v="60 km/h"/>
  </r>
  <r>
    <x v="0"/>
    <x v="21"/>
    <x v="1"/>
    <s v="156EGO0270"/>
    <s v="GO-156"/>
    <s v="KM 192 + 704M"/>
    <x v="7"/>
    <s v="-15,601562°"/>
    <s v="-49,85688°"/>
    <s v="PD1"/>
    <n v="1"/>
    <s v="Decrescente"/>
    <s v="60 km/h"/>
  </r>
  <r>
    <x v="0"/>
    <x v="22"/>
    <x v="0"/>
    <s v="156EGO0385"/>
    <s v="GO-156"/>
    <s v="KM 351 + 533M"/>
    <x v="8"/>
    <s v="-14,544126°"/>
    <s v="-49,968857°"/>
    <s v="PC1-PD1"/>
    <n v="2"/>
    <s v="Crescente/Decrescente"/>
    <s v="40 km/h"/>
  </r>
  <r>
    <x v="0"/>
    <x v="23"/>
    <x v="1"/>
    <s v="164EGO0555"/>
    <s v="GO-164"/>
    <s v="KM 492 + 226M"/>
    <x v="9"/>
    <s v="-15,9254525°"/>
    <s v="-50,1374047°"/>
    <s v="PD1"/>
    <n v="1"/>
    <s v="Decrescente"/>
    <s v="60 km/h"/>
  </r>
  <r>
    <x v="0"/>
    <x v="24"/>
    <x v="1"/>
    <s v="164EGO0570"/>
    <s v="GO-164"/>
    <s v="KM 501 + 378M"/>
    <x v="9"/>
    <s v="-15,86482°"/>
    <s v="-50,0889°"/>
    <s v="PC1-PD1"/>
    <n v="2"/>
    <s v="Crescente/Decrescente"/>
    <s v="80 km/h"/>
  </r>
  <r>
    <x v="0"/>
    <x v="25"/>
    <x v="1"/>
    <s v="164EGO0720"/>
    <s v="GO-164"/>
    <s v="KM 690 + 321M"/>
    <x v="10"/>
    <s v="-14,399854°"/>
    <s v="-50,442351°"/>
    <s v="PC1"/>
    <n v="1"/>
    <s v="Crescente"/>
    <s v="80 km/h"/>
  </r>
  <r>
    <x v="0"/>
    <x v="26"/>
    <x v="1"/>
    <s v="164EGO0730"/>
    <s v="GO-164"/>
    <s v="KM 690 + 351M"/>
    <x v="10"/>
    <s v="-14,399577°"/>
    <s v="-50,442321°"/>
    <s v="PD1"/>
    <n v="1"/>
    <s v="Decrescente"/>
    <s v="80 km/h"/>
  </r>
  <r>
    <x v="0"/>
    <x v="27"/>
    <x v="0"/>
    <s v="164EGO0830"/>
    <s v="GO-164"/>
    <s v="KM 749 + 151M"/>
    <x v="10"/>
    <s v="-13,890421°"/>
    <s v="-50,328515°"/>
    <s v="PC1-PD1"/>
    <n v="2"/>
    <s v="Crescente/Decrescente"/>
    <s v="60 km/h"/>
  </r>
  <r>
    <x v="0"/>
    <x v="28"/>
    <x v="1"/>
    <s v="173EGO0070"/>
    <s v="GO-173"/>
    <s v="KM 151 + 605M"/>
    <x v="11"/>
    <s v="-15,30702°"/>
    <s v="-51,19267°"/>
    <s v="PC1-PD1"/>
    <n v="2"/>
    <s v="Crescente/Decrescente"/>
    <s v="80 km/h"/>
  </r>
  <r>
    <x v="0"/>
    <x v="29"/>
    <x v="0"/>
    <s v="230EGO0180"/>
    <s v="GO-230"/>
    <s v="KM 311 + 91M"/>
    <x v="3"/>
    <s v="-15,506097°"/>
    <s v="-49,636382°"/>
    <s v="PC1"/>
    <n v="1"/>
    <s v="Crescente"/>
    <s v="60 km/h"/>
  </r>
  <r>
    <x v="0"/>
    <x v="30"/>
    <x v="0"/>
    <s v="230EGO0180"/>
    <s v="GO-230"/>
    <s v="KM 311 + 251M"/>
    <x v="3"/>
    <s v="-15,506394°"/>
    <s v="-49,637843°"/>
    <s v="PD1"/>
    <n v="1"/>
    <s v="Decrescente"/>
    <s v="60 km/h"/>
  </r>
  <r>
    <x v="0"/>
    <x v="31"/>
    <x v="1"/>
    <s v="230EGO0180"/>
    <s v="GO-230"/>
    <s v="KM 314 + 690M"/>
    <x v="3"/>
    <s v="-15,511912°"/>
    <s v="-49,668608°"/>
    <s v="PC1-PD1"/>
    <n v="2"/>
    <s v="Crescente/Decrescente"/>
    <s v="80 km/h"/>
  </r>
  <r>
    <x v="0"/>
    <x v="32"/>
    <x v="0"/>
    <s v="230EGO0187"/>
    <s v="GO-230"/>
    <s v="KM 318 + 181M"/>
    <x v="3"/>
    <s v="-15,50313°"/>
    <s v="-49,69309°"/>
    <s v="PC1"/>
    <n v="1"/>
    <s v="Crescente"/>
    <s v="40 km/h"/>
  </r>
  <r>
    <x v="0"/>
    <x v="33"/>
    <x v="0"/>
    <s v="230EGO0187"/>
    <s v="GO-230"/>
    <s v="KM 318 + 284M"/>
    <x v="3"/>
    <s v="-15,503841°"/>
    <s v="-49,693717°"/>
    <s v="PD1"/>
    <n v="1"/>
    <s v="Decrescente"/>
    <s v="40 km/h"/>
  </r>
  <r>
    <x v="0"/>
    <x v="34"/>
    <x v="0"/>
    <s v="154EGO0390"/>
    <s v="GO-154"/>
    <s v="KM 334 + 501M"/>
    <x v="4"/>
    <s v="-14,506146°"/>
    <s v="-49,638217°"/>
    <s v="PC1-PD1"/>
    <n v="2"/>
    <s v="Crescente/Decrescente"/>
    <s v="40 km/h"/>
  </r>
  <r>
    <x v="0"/>
    <x v="35"/>
    <x v="0"/>
    <s v="239EGO0180"/>
    <s v="GO 239"/>
    <s v="000Km + 150m"/>
    <x v="12"/>
    <n v="-13.890625999999999"/>
    <n v="-50.329898"/>
    <s v="PD1"/>
    <n v="1"/>
    <s v="Decrescente"/>
    <s v="40 km/h"/>
  </r>
  <r>
    <x v="0"/>
    <x v="36"/>
    <x v="0"/>
    <s v="454EGO0010"/>
    <s v="GO 454"/>
    <s v="000Km + 150m"/>
    <x v="10"/>
    <n v="-14.399526"/>
    <n v="-50.443652999999998"/>
    <s v="PD1"/>
    <n v="1"/>
    <s v="Decrescente"/>
    <s v="40 km/h"/>
  </r>
  <r>
    <x v="1"/>
    <x v="37"/>
    <x v="0"/>
    <s v="164EGO0850"/>
    <s v="GO 164"/>
    <s v="km 761+100m"/>
    <x v="12"/>
    <s v="-13.783749°"/>
    <s v="-50.340316°"/>
    <s v="PD1"/>
    <n v="1"/>
    <s v="Decrescente"/>
    <s v="60 km/h"/>
  </r>
  <r>
    <x v="1"/>
    <x v="37"/>
    <x v="0"/>
    <s v="164EGO0830"/>
    <s v="GO 164"/>
    <s v="km 760+800m"/>
    <x v="12"/>
    <s v="-13.785914°"/>
    <s v="-50.340461°"/>
    <s v="PC1"/>
    <n v="1"/>
    <s v="Crescente"/>
    <s v="60 km/h"/>
  </r>
  <r>
    <x v="1"/>
    <x v="38"/>
    <x v="1"/>
    <s v="164EGO0590"/>
    <s v="GO 164"/>
    <s v="km 555+950m"/>
    <x v="13"/>
    <s v="-15.464883°"/>
    <s v="-50.352701°"/>
    <s v="PD1"/>
    <n v="1"/>
    <s v="Decrescente"/>
    <s v="80 km/h"/>
  </r>
  <r>
    <x v="1"/>
    <x v="38"/>
    <x v="1"/>
    <s v="164EGO0590"/>
    <s v="GO 164"/>
    <s v="km 555+900m"/>
    <x v="13"/>
    <s v="-15.465616°"/>
    <s v="-50.351812°"/>
    <s v="PC1"/>
    <n v="1"/>
    <s v="Crescente"/>
    <s v="80 km/h"/>
  </r>
  <r>
    <x v="2"/>
    <x v="39"/>
    <x v="0"/>
    <s v="154EGO0215"/>
    <s v="GO-154"/>
    <s v="KM 207 + 220M"/>
    <x v="14"/>
    <n v="-15.362679"/>
    <n v="-49.699703"/>
    <s v="PC1"/>
    <n v="1"/>
    <s v="Crescente"/>
    <s v="40 km/h"/>
  </r>
  <r>
    <x v="2"/>
    <x v="40"/>
    <x v="0"/>
    <s v="154EGO0215"/>
    <s v="GO-154"/>
    <s v="KM 207 + 600M"/>
    <x v="14"/>
    <n v="-15.359247"/>
    <n v="-49.699551"/>
    <s v="PD1"/>
    <n v="1"/>
    <s v="Decrescente"/>
    <s v="40 km/h"/>
  </r>
  <r>
    <x v="2"/>
    <x v="41"/>
    <x v="0"/>
    <s v="154EGO0230"/>
    <s v="GO-154"/>
    <s v="KM 218 + 305M"/>
    <x v="15"/>
    <n v="-15.33883"/>
    <n v="-49.612938"/>
    <s v="PC1-PD1"/>
    <n v="2"/>
    <s v="Crescente/Decrescente"/>
    <s v="40 km/h"/>
  </r>
  <r>
    <x v="2"/>
    <x v="42"/>
    <x v="0"/>
    <s v="154EGO0330"/>
    <s v="GO-154"/>
    <s v="KM 280 + 59M"/>
    <x v="16"/>
    <n v="-14.948444"/>
    <n v="-49.547288000000002"/>
    <s v="PC1-PC2"/>
    <n v="2"/>
    <s v="Crescente"/>
    <s v="40 km/h"/>
  </r>
  <r>
    <x v="2"/>
    <x v="43"/>
    <x v="0"/>
    <s v="154EGO0330"/>
    <s v="GO-154"/>
    <s v="KM 280 + 182M"/>
    <x v="16"/>
    <n v="-14.947331999999999"/>
    <n v="-49.547415000000001"/>
    <s v="PD1-PD2"/>
    <n v="2"/>
    <s v="Decrescente"/>
    <s v="40 km/h"/>
  </r>
  <r>
    <x v="2"/>
    <x v="44"/>
    <x v="0"/>
    <s v="154EGO0370"/>
    <s v="GO-154"/>
    <s v="KM 307 + 11M"/>
    <x v="17"/>
    <n v="-14.725806"/>
    <n v="-49.594090000000001"/>
    <s v="PC1-PD1"/>
    <n v="2"/>
    <s v="Crescente/Decrescente"/>
    <s v="60 km/h"/>
  </r>
  <r>
    <x v="2"/>
    <x v="45"/>
    <x v="0"/>
    <s v="154EGO0370"/>
    <s v="GO-154"/>
    <s v="KM 324 + 22M"/>
    <x v="4"/>
    <n v="-14.579641000000001"/>
    <n v="-49.583924000000003"/>
    <s v="PC1-PD1"/>
    <n v="2"/>
    <s v="Crescente/Decrescente"/>
    <s v="60 km/h"/>
  </r>
  <r>
    <x v="2"/>
    <x v="46"/>
    <x v="0"/>
    <s v="154EGO0420"/>
    <s v="GO-154"/>
    <s v="KM 356 + 592M"/>
    <x v="4"/>
    <n v="-14.345764000000001"/>
    <n v="-49.694381"/>
    <s v="PC1-PD1"/>
    <n v="2"/>
    <s v="Crescente/Decrescente"/>
    <s v="40 km/h"/>
  </r>
  <r>
    <x v="2"/>
    <x v="47"/>
    <x v="0"/>
    <s v="244EGO0018"/>
    <s v="GO-244"/>
    <s v="KM 58 + 95M"/>
    <x v="18"/>
    <n v="-13.414666"/>
    <n v="-49.149894000000003"/>
    <s v="PC1"/>
    <n v="1"/>
    <s v="Crescente"/>
    <s v="60 km/h"/>
  </r>
  <r>
    <x v="2"/>
    <x v="48"/>
    <x v="0"/>
    <s v="244EGO0018"/>
    <s v="GO-244"/>
    <s v="KM 58 + 230M"/>
    <x v="18"/>
    <n v="-13.414799"/>
    <n v="-49.151141000000003"/>
    <s v="PD1"/>
    <n v="1"/>
    <s v="Decrescente"/>
    <s v="60 km/h"/>
  </r>
  <r>
    <x v="2"/>
    <x v="49"/>
    <x v="0"/>
    <s v="244EGO0020"/>
    <s v="GO-244"/>
    <s v="KM 60 + 710M"/>
    <x v="18"/>
    <n v="-13.420337"/>
    <n v="-49.173088"/>
    <s v="PC1"/>
    <n v="1"/>
    <s v="Crescente"/>
    <s v="60 km/h"/>
  </r>
  <r>
    <x v="2"/>
    <x v="50"/>
    <x v="0"/>
    <s v="244EGO0020"/>
    <s v="GO-244"/>
    <s v="KM 60 + 863M"/>
    <x v="18"/>
    <n v="-13.420735000000001"/>
    <n v="-49.174435000000003"/>
    <s v="PD1"/>
    <n v="1"/>
    <s v="Decrescente"/>
    <s v="60 km/h"/>
  </r>
  <r>
    <x v="2"/>
    <x v="51"/>
    <x v="0"/>
    <s v="244EGO0030"/>
    <s v="GO-244"/>
    <s v="KM 140 + 340M"/>
    <x v="19"/>
    <n v="-13.261065"/>
    <n v="-49.807631999999998"/>
    <s v="PC1-PD1"/>
    <n v="2"/>
    <s v="Crescente/Decrescente"/>
    <s v="60 km/h"/>
  </r>
  <r>
    <x v="2"/>
    <x v="52"/>
    <x v="0"/>
    <s v="244EGO0030"/>
    <s v="GO-244"/>
    <s v="KM 178 + 433M"/>
    <x v="20"/>
    <n v="-13.267295000000001"/>
    <n v="-50.143650000000001"/>
    <s v="PC1"/>
    <n v="1"/>
    <s v="Crescente"/>
    <s v="40 km/h"/>
  </r>
  <r>
    <x v="2"/>
    <x v="53"/>
    <x v="0"/>
    <s v="244EGO0030"/>
    <s v="GO-244"/>
    <s v="KM 178 + 490M"/>
    <x v="20"/>
    <n v="-13.267393"/>
    <n v="-50.144174999999997"/>
    <s v="PD1"/>
    <n v="1"/>
    <s v="Decrescente"/>
    <s v="40 km/h"/>
  </r>
  <r>
    <x v="2"/>
    <x v="54"/>
    <x v="1"/>
    <s v="347EGO0060"/>
    <s v="GO-347"/>
    <s v="KM 54 + 712M"/>
    <x v="21"/>
    <n v="-14.752395999999999"/>
    <n v="-50.556230999999997"/>
    <s v="PC1-PD1"/>
    <n v="2"/>
    <s v="Crescente/Decrescente"/>
    <s v="60 km/h"/>
  </r>
  <r>
    <x v="2"/>
    <x v="55"/>
    <x v="1"/>
    <s v="347EGO0070"/>
    <s v="GO-347"/>
    <s v="KM 55 + 917M"/>
    <x v="21"/>
    <n v="-14.756099000000001"/>
    <n v="-50.545704999999998"/>
    <s v="PC1-PC2"/>
    <n v="2"/>
    <s v="Crescente"/>
    <s v="60 km/h"/>
  </r>
  <r>
    <x v="2"/>
    <x v="56"/>
    <x v="1"/>
    <s v="347EGO0070"/>
    <s v="GO-347"/>
    <s v="KM 55 + 995M"/>
    <x v="21"/>
    <n v="-14.756187000000001"/>
    <n v="-50.544972999999999"/>
    <s v="PD1-PD2"/>
    <n v="2"/>
    <s v="Decrescente"/>
    <s v="60 km/h"/>
  </r>
  <r>
    <x v="2"/>
    <x v="57"/>
    <x v="1"/>
    <s v="347EGO0130"/>
    <s v="GO-347"/>
    <s v="KM 141 + 701M"/>
    <x v="8"/>
    <n v="-14.529365"/>
    <n v="-49.947929000000002"/>
    <s v="PC1"/>
    <n v="1"/>
    <s v="Crescente"/>
    <s v="60 km/h"/>
  </r>
  <r>
    <x v="2"/>
    <x v="58"/>
    <x v="1"/>
    <s v="347EGO0130"/>
    <s v="GO-347"/>
    <s v="KM 141 + 736M"/>
    <x v="8"/>
    <n v="-14.529325"/>
    <n v="-49.947597999999999"/>
    <s v="PD1"/>
    <n v="1"/>
    <s v="Decrescente"/>
    <s v="60 km/h"/>
  </r>
  <r>
    <x v="2"/>
    <x v="59"/>
    <x v="0"/>
    <s v="347EGO0190"/>
    <s v="GO-347"/>
    <s v="KM 239 + 417M"/>
    <x v="22"/>
    <n v="-14.190367999999999"/>
    <n v="-49.350214999999999"/>
    <s v="PD1"/>
    <n v="1"/>
    <s v="Decrescente"/>
    <s v="40 km/h"/>
  </r>
  <r>
    <x v="2"/>
    <x v="60"/>
    <x v="1"/>
    <s v="427EGO0030"/>
    <s v="GO-427"/>
    <s v="KM 54 + 595M"/>
    <x v="0"/>
    <n v="-15.743752000000001"/>
    <n v="-49.366813999999998"/>
    <s v="PC1-PD1"/>
    <n v="2"/>
    <s v="Crescente/Decrescente"/>
    <s v="80 km/h"/>
  </r>
  <r>
    <x v="2"/>
    <x v="61"/>
    <x v="0"/>
    <s v="427EGO0040"/>
    <s v="GO-427"/>
    <s v="KM 58 + 142M"/>
    <x v="0"/>
    <n v="-15.761240000000001"/>
    <n v="-49.339889999999997"/>
    <s v="PC1"/>
    <n v="1"/>
    <s v="Crescente"/>
    <s v="40 km/h"/>
  </r>
  <r>
    <x v="2"/>
    <x v="62"/>
    <x v="0"/>
    <s v="427EGO0040"/>
    <s v="GO-427"/>
    <s v="KM 58 + 159M"/>
    <x v="0"/>
    <n v="-15.761200000000001"/>
    <n v="-49.339722000000002"/>
    <s v="PD1"/>
    <n v="1"/>
    <s v="Decrescente"/>
    <s v="40 km/h"/>
  </r>
  <r>
    <x v="2"/>
    <x v="63"/>
    <x v="0"/>
    <s v="427EGO0040"/>
    <s v="GO-427"/>
    <s v="KM 58 + 570M"/>
    <x v="0"/>
    <n v="-15.761049999999999"/>
    <n v="-49.335949999999997"/>
    <s v="PC1"/>
    <n v="1"/>
    <s v="Crescente"/>
    <s v="40 km/h"/>
  </r>
  <r>
    <x v="2"/>
    <x v="64"/>
    <x v="0"/>
    <s v="427EGO0040"/>
    <s v="GO-427"/>
    <s v="KM 58 + 612M"/>
    <x v="0"/>
    <n v="-15.761146"/>
    <n v="-49.335568000000002"/>
    <s v="PD1"/>
    <n v="1"/>
    <s v="Decrescente"/>
    <s v="40 km/h"/>
  </r>
  <r>
    <x v="2"/>
    <x v="65"/>
    <x v="1"/>
    <s v="070EGO0210"/>
    <s v="GO-070"/>
    <s v="KM 127 + 450M"/>
    <x v="23"/>
    <n v="-15.966638"/>
    <n v="-50.113753000000003"/>
    <s v="PD1-PD2"/>
    <n v="2"/>
    <s v="Decrescente"/>
    <s v="80 km/h"/>
  </r>
  <r>
    <x v="2"/>
    <x v="66"/>
    <x v="1"/>
    <s v="336EGO0077"/>
    <s v="GO-336"/>
    <s v="KM 102 + 580M"/>
    <x v="24"/>
    <n v="-14.546315999999999"/>
    <n v="-49.984830000000002"/>
    <s v="PD1"/>
    <n v="1"/>
    <s v="Decrescente"/>
    <s v="80 km/h"/>
  </r>
  <r>
    <x v="2"/>
    <x v="67"/>
    <x v="0"/>
    <s v="336EGO0030"/>
    <s v="GO-336"/>
    <s v="KM 017 + 760M"/>
    <x v="16"/>
    <n v="-14.96654"/>
    <n v="-49.546849999999999"/>
    <s v="PC1-PC2"/>
    <n v="2"/>
    <s v="Crescente"/>
    <s v="40 km/h"/>
  </r>
  <r>
    <x v="2"/>
    <x v="67"/>
    <x v="0"/>
    <s v="336EGO0030"/>
    <s v="GO-336"/>
    <s v="KM 017 + 920M"/>
    <x v="16"/>
    <n v="-14.965138"/>
    <n v="-49.547117"/>
    <s v="PD1-PD2"/>
    <n v="2"/>
    <s v="Decrescente"/>
    <s v="40 km/h"/>
  </r>
  <r>
    <x v="2"/>
    <x v="68"/>
    <x v="0"/>
    <s v="164EGO0900"/>
    <s v="GO-164"/>
    <s v="KM 851 + 400M"/>
    <x v="20"/>
    <s v="-13.085204°"/>
    <s v="-49.979043°"/>
    <s v="PC1-PD1"/>
    <n v="2"/>
    <s v="Crescente/Decrescente"/>
    <s v="40 km/h"/>
  </r>
  <r>
    <x v="2"/>
    <x v="69"/>
    <x v="0"/>
    <s v="164EGO0900"/>
    <s v="GO-164"/>
    <s v="KM 852 + 600M"/>
    <x v="20"/>
    <n v="-13.075587000000001"/>
    <n v="-49.972703000000003"/>
    <s v="PC1-PD1"/>
    <n v="2"/>
    <s v="Crescente/Decrescente"/>
    <s v="40 km/h"/>
  </r>
  <r>
    <x v="2"/>
    <x v="70"/>
    <x v="0"/>
    <s v="173EGO0050"/>
    <s v="GO-173"/>
    <s v="94+150M"/>
    <x v="25"/>
    <n v="-15775700"/>
    <n v="-51093023"/>
    <s v="PC1-PD1"/>
    <n v="2"/>
    <s v="Crescente/Decrescente"/>
    <s v="40 km/h"/>
  </r>
  <r>
    <x v="2"/>
    <x v="70"/>
    <x v="0"/>
    <s v="173GO0070"/>
    <s v="GO-173"/>
    <s v="94+800M"/>
    <x v="25"/>
    <n v="-1577074"/>
    <n v="-5109519"/>
    <s v="PC1-PD1"/>
    <n v="2"/>
    <s v="Crescente/Decrescente"/>
    <s v="40 km/h"/>
  </r>
  <r>
    <x v="2"/>
    <x v="70"/>
    <x v="1"/>
    <s v="173EGO0070"/>
    <s v="GO-173"/>
    <s v="95+600M"/>
    <x v="25"/>
    <n v="-1576442"/>
    <n v="-51097877"/>
    <s v="PC1-PD1"/>
    <n v="2"/>
    <s v="Crescente/Decrescente"/>
    <s v="80 km/h"/>
  </r>
  <r>
    <x v="3"/>
    <x v="71"/>
    <x v="1"/>
    <s v="060EGO0230"/>
    <s v="GO-060"/>
    <s v="KM 225 + 332M"/>
    <x v="26"/>
    <s v="-16,412418°"/>
    <s v="-51,179943°"/>
    <s v="PC1"/>
    <n v="1"/>
    <s v="Crescente"/>
    <s v="60 km/h"/>
  </r>
  <r>
    <x v="3"/>
    <x v="72"/>
    <x v="1"/>
    <s v="060EGO0240"/>
    <s v="GO-060"/>
    <s v="KM 225 + 599M"/>
    <x v="26"/>
    <s v="-16,412446°"/>
    <s v="-51,182422°"/>
    <s v="PD1"/>
    <n v="1"/>
    <s v="Decrescente"/>
    <s v="60 km/h"/>
  </r>
  <r>
    <x v="3"/>
    <x v="73"/>
    <x v="0"/>
    <s v="164EGO0110"/>
    <s v="GO-164"/>
    <s v="KM 83 + 674M"/>
    <x v="27"/>
    <s v="-18,905075°"/>
    <s v="-50,66134°"/>
    <s v="PC1-PD1"/>
    <n v="2"/>
    <s v="Crescente/Decrescente"/>
    <s v="60 km/h"/>
  </r>
  <r>
    <x v="3"/>
    <x v="74"/>
    <x v="0"/>
    <s v="164EGO0115"/>
    <s v="GO-164"/>
    <s v="KM 143 + 52M"/>
    <x v="28"/>
    <s v="-18,47458405°"/>
    <s v="-50,42729568°"/>
    <s v="PC1-PD1"/>
    <n v="2"/>
    <s v="Crescente/Decrescente"/>
    <s v="60 km/h"/>
  </r>
  <r>
    <x v="3"/>
    <x v="75"/>
    <x v="0"/>
    <s v="164EGO0115"/>
    <s v="GO-164"/>
    <s v="KM 144 + 820M"/>
    <x v="28"/>
    <s v="-18,45908°"/>
    <s v="-50,42296°"/>
    <s v="PC1-PD1"/>
    <n v="2"/>
    <s v="Crescente/Decrescente"/>
    <s v="60 km/h"/>
  </r>
  <r>
    <x v="3"/>
    <x v="76"/>
    <x v="0"/>
    <s v="164EGO0193"/>
    <s v="GO-164"/>
    <s v="KM 222 + 636M"/>
    <x v="29"/>
    <s v="-17,835219°"/>
    <s v="-50,572096°"/>
    <s v="PC1-PC2"/>
    <n v="2"/>
    <s v="Crescente"/>
    <s v="40 km/h"/>
  </r>
  <r>
    <x v="3"/>
    <x v="77"/>
    <x v="0"/>
    <s v="164EGO0195"/>
    <s v="GO-164"/>
    <s v="KM 222 + 889M"/>
    <x v="29"/>
    <s v="-17,833183°"/>
    <s v="-50,573214°"/>
    <s v="PD1-PD2"/>
    <n v="2"/>
    <s v="Decrescente"/>
    <s v="40 km/h"/>
  </r>
  <r>
    <x v="3"/>
    <x v="78"/>
    <x v="0"/>
    <s v="164EGO0195"/>
    <s v="GO-164"/>
    <s v="KM 223 + 175M"/>
    <x v="29"/>
    <s v="-17,830592°"/>
    <s v="-50,573169°"/>
    <s v="PC1-PC2"/>
    <n v="2"/>
    <s v="Crescente"/>
    <s v="40 km/h"/>
  </r>
  <r>
    <x v="3"/>
    <x v="79"/>
    <x v="0"/>
    <s v="164EGO0197"/>
    <s v="GO-164"/>
    <s v="KM 223 + 326M"/>
    <x v="29"/>
    <s v="-17,829315°"/>
    <s v="-50,573901°"/>
    <s v="PD1-PD2"/>
    <n v="2"/>
    <s v="Decrescente"/>
    <s v="40 km/h"/>
  </r>
  <r>
    <x v="3"/>
    <x v="80"/>
    <x v="0"/>
    <s v="164EGO0197"/>
    <s v="GO-164"/>
    <s v="KM 223 + 672M"/>
    <x v="29"/>
    <s v="-17,826151°"/>
    <s v="-50,573944°"/>
    <s v="PC1-PC2"/>
    <n v="2"/>
    <s v="Crescente"/>
    <s v="40 km/h"/>
  </r>
  <r>
    <x v="3"/>
    <x v="81"/>
    <x v="0"/>
    <s v="164EGO0197"/>
    <s v="GO-164"/>
    <s v="KM 223 + 818M"/>
    <x v="29"/>
    <s v="-17,824967°"/>
    <s v="-50,574604°"/>
    <s v="PD1-PD2"/>
    <n v="2"/>
    <s v="Decrescente"/>
    <s v="40 km/h"/>
  </r>
  <r>
    <x v="3"/>
    <x v="82"/>
    <x v="1"/>
    <s v="174EGO0195"/>
    <s v="GO-174"/>
    <s v="KM 254 + 524M"/>
    <x v="30"/>
    <s v="-17,68678°"/>
    <s v="-51,034541°"/>
    <s v="PD1-PD2-PC1"/>
    <n v="3"/>
    <s v="Crescente/Decrescente"/>
    <s v="80 km/h"/>
  </r>
  <r>
    <x v="3"/>
    <x v="83"/>
    <x v="1"/>
    <s v="174EGO0270"/>
    <s v="GO-174"/>
    <s v="KM 371 + 513M"/>
    <x v="31"/>
    <s v="-16,73084°"/>
    <s v="-51,063168°"/>
    <s v="PC1"/>
    <n v="1"/>
    <s v="Crescente"/>
    <s v="60 km/h"/>
  </r>
  <r>
    <x v="3"/>
    <x v="84"/>
    <x v="1"/>
    <s v="174EGO0270"/>
    <s v="GO-174"/>
    <s v="KM 372 + 359M"/>
    <x v="31"/>
    <s v="-16,724487°"/>
    <s v="-51,06576°"/>
    <s v="PC1"/>
    <n v="1"/>
    <s v="Crescente"/>
    <s v="60 km/h"/>
  </r>
  <r>
    <x v="3"/>
    <x v="85"/>
    <x v="0"/>
    <s v="174EGO0310"/>
    <s v="GO-174"/>
    <s v="KM 405 + 875M"/>
    <x v="26"/>
    <s v="-16,449873°"/>
    <s v="-51,117561°"/>
    <s v="PD1"/>
    <n v="1"/>
    <s v="Decrescente"/>
    <s v="40 km/h"/>
  </r>
  <r>
    <x v="3"/>
    <x v="86"/>
    <x v="0"/>
    <s v="174EGO0310"/>
    <s v="GO-174"/>
    <s v="KM 405 + 979M"/>
    <x v="26"/>
    <s v="-16,449289°"/>
    <s v="-51,118343°"/>
    <s v="PC1"/>
    <n v="1"/>
    <s v="Crescente"/>
    <s v="40 km/h"/>
  </r>
  <r>
    <x v="3"/>
    <x v="87"/>
    <x v="0"/>
    <s v="174EGO0310"/>
    <s v="GO-174"/>
    <s v="KM 406 + 80M"/>
    <x v="26"/>
    <s v="-16,448566°"/>
    <s v="-51,118917°"/>
    <s v="PD1"/>
    <n v="1"/>
    <s v="Decrescente"/>
    <s v="40 km/h"/>
  </r>
  <r>
    <x v="3"/>
    <x v="88"/>
    <x v="0"/>
    <s v="174EGO0315"/>
    <s v="GO-174"/>
    <s v="KM 406 + 196M"/>
    <x v="26"/>
    <s v="-16,447845°"/>
    <s v="-51,119723°"/>
    <s v="PC1"/>
    <n v="1"/>
    <s v="Crescente"/>
    <s v="40 km/h"/>
  </r>
  <r>
    <x v="3"/>
    <x v="89"/>
    <x v="0"/>
    <s v="174EGO0315"/>
    <s v="GO-174"/>
    <s v="KM 406 + 611M"/>
    <x v="26"/>
    <s v="-16,445051°"/>
    <s v="-51,122316°"/>
    <s v="PC1-PD1"/>
    <n v="2"/>
    <s v="Crescente/Decrescente"/>
    <s v="40 km/h"/>
  </r>
  <r>
    <x v="3"/>
    <x v="90"/>
    <x v="1"/>
    <s v="184EGO0130"/>
    <s v="GO-184"/>
    <s v="KM 113 + 728M"/>
    <x v="32"/>
    <s v="-18,13963°"/>
    <s v="-51,904923°"/>
    <s v="PC1"/>
    <n v="1"/>
    <s v="Crescente"/>
    <s v="80 km/h"/>
  </r>
  <r>
    <x v="3"/>
    <x v="91"/>
    <x v="1"/>
    <s v="184EGO0130"/>
    <s v="GO-184"/>
    <s v="KM 114 + 347M"/>
    <x v="32"/>
    <s v="-18,134402°"/>
    <s v="-51,903248°"/>
    <s v="PD1"/>
    <n v="1"/>
    <s v="Decrescente"/>
    <s v="80 km/h"/>
  </r>
  <r>
    <x v="3"/>
    <x v="92"/>
    <x v="0"/>
    <s v="206EGO0172"/>
    <s v="GO-206"/>
    <s v="KM 143 + 548M"/>
    <x v="28"/>
    <s v="-18,46528°"/>
    <s v="-50,45154°"/>
    <s v="PC1-PD1"/>
    <n v="2"/>
    <s v="Crescente/Decrescente"/>
    <s v="40 km/h"/>
  </r>
  <r>
    <x v="3"/>
    <x v="93"/>
    <x v="0"/>
    <s v="206EGO0175"/>
    <s v="GO-206"/>
    <s v="KM 144 + 718M"/>
    <x v="28"/>
    <s v="-18,45793°"/>
    <s v="-50,45909°"/>
    <s v="PC1-PC2-PD1-PD2"/>
    <n v="4"/>
    <s v="Crescente/Decrescente"/>
    <s v="40 km/h"/>
  </r>
  <r>
    <x v="3"/>
    <x v="94"/>
    <x v="0"/>
    <s v="206EGO0230"/>
    <s v="GO-206"/>
    <s v="KM 221 + 841M"/>
    <x v="33"/>
    <s v="-18,556807°"/>
    <s v="-51,12636°"/>
    <s v="PC1"/>
    <n v="1"/>
    <s v="Crescente"/>
    <s v="60 km/h"/>
  </r>
  <r>
    <x v="3"/>
    <x v="95"/>
    <x v="0"/>
    <s v="206EGO0250"/>
    <s v="GO-206"/>
    <s v="KM 224 + 300M"/>
    <x v="33"/>
    <s v="-18,5759°"/>
    <s v="-51,1358°"/>
    <s v="PD1"/>
    <n v="1"/>
    <s v="Decrescente"/>
    <s v="40 km/h"/>
  </r>
  <r>
    <x v="3"/>
    <x v="96"/>
    <x v="0"/>
    <s v="206EGO0270"/>
    <s v="GO-206"/>
    <s v="KM 257 + 525M"/>
    <x v="34"/>
    <s v="-18,761294°"/>
    <s v="-51,347627°"/>
    <s v="PD1"/>
    <n v="1"/>
    <s v="Decrescente"/>
    <s v="40 km/h"/>
  </r>
  <r>
    <x v="3"/>
    <x v="97"/>
    <x v="0"/>
    <s v="206EGO0430"/>
    <s v="GO-206"/>
    <s v="KM 432 + 836M"/>
    <x v="35"/>
    <s v="-18,39284°"/>
    <s v="-52,666764°"/>
    <s v="PC1"/>
    <n v="1"/>
    <s v="Crescente"/>
    <s v="40 km/h"/>
  </r>
  <r>
    <x v="3"/>
    <x v="98"/>
    <x v="0"/>
    <s v="210EGO0430"/>
    <s v="GO-210"/>
    <s v="KM 410 + 175M"/>
    <x v="29"/>
    <s v="-17,815567°"/>
    <s v="-50,536295°"/>
    <s v="PC1"/>
    <n v="1"/>
    <s v="Crescente"/>
    <s v="60 km/h"/>
  </r>
  <r>
    <x v="3"/>
    <x v="99"/>
    <x v="0"/>
    <s v="210EGO0430"/>
    <s v="GO-210"/>
    <s v="KM 410 + 234M"/>
    <x v="29"/>
    <s v="-17,815772°"/>
    <s v="-50,536827°"/>
    <s v="PD1"/>
    <n v="1"/>
    <s v="Decrescente"/>
    <s v="60 km/h"/>
  </r>
  <r>
    <x v="3"/>
    <x v="100"/>
    <x v="0"/>
    <s v="210EGO0465"/>
    <s v="GO-210"/>
    <s v="KM 420 + 847M"/>
    <x v="29"/>
    <s v="-17,812336°"/>
    <s v="-50,622408°"/>
    <s v="PC1"/>
    <n v="1"/>
    <s v="Crescente"/>
    <s v="40 km/h"/>
  </r>
  <r>
    <x v="3"/>
    <x v="101"/>
    <x v="0"/>
    <s v="210EGO0465"/>
    <s v="GO-210"/>
    <s v="KM 420 + 993M"/>
    <x v="29"/>
    <s v="-17,812241°"/>
    <s v="-50,623785°"/>
    <s v="PD1"/>
    <n v="1"/>
    <s v="Decrescente"/>
    <s v="40 km/h"/>
  </r>
  <r>
    <x v="3"/>
    <x v="102"/>
    <x v="0"/>
    <s v="210EGO0470"/>
    <s v="GO-210"/>
    <s v="KM 422 + 289M"/>
    <x v="29"/>
    <s v="-17,812205°"/>
    <s v="-50,635895°"/>
    <s v="PD1"/>
    <n v="1"/>
    <s v="Decrescente"/>
    <s v="60 km/h"/>
  </r>
  <r>
    <x v="3"/>
    <x v="103"/>
    <x v="0"/>
    <s v="210EGO0470"/>
    <s v="GO-210"/>
    <s v="KM 422 + 291M"/>
    <x v="29"/>
    <s v="-17,812104°"/>
    <s v="-50,635918°"/>
    <s v="PC1"/>
    <n v="1"/>
    <s v="Crescente"/>
    <s v="60 km/h"/>
  </r>
  <r>
    <x v="4"/>
    <x v="104"/>
    <x v="1"/>
    <s v="221EGO0010"/>
    <s v="GO-221"/>
    <s v="KM 000 + 005M"/>
    <x v="26"/>
    <n v="-16.463206660000001"/>
    <n v="-51.126543990000002"/>
    <s v="PC1"/>
    <n v="1"/>
    <s v="Crescente"/>
    <s v="80 km/h"/>
  </r>
  <r>
    <x v="4"/>
    <x v="105"/>
    <x v="1"/>
    <s v="221EGO0010"/>
    <s v="GO-221"/>
    <s v="KM 000 + 000M"/>
    <x v="26"/>
    <n v="-16.463207929999999"/>
    <n v="-51.126544279999997"/>
    <s v="PD1"/>
    <n v="1"/>
    <s v="Decrescente"/>
    <s v="80 km/h"/>
  </r>
  <r>
    <x v="5"/>
    <x v="106"/>
    <x v="0"/>
    <s v="050EGO0420"/>
    <s v="GO-050"/>
    <s v="KM 529 + 795M"/>
    <x v="35"/>
    <n v="-18.393274000000002"/>
    <n v="-52.666094999999999"/>
    <s v="PD1"/>
    <n v="1"/>
    <s v="Decrescente"/>
    <s v="40 km/h"/>
  </r>
  <r>
    <x v="5"/>
    <x v="107"/>
    <x v="0"/>
    <s v="060EGO0240"/>
    <s v="GO-060"/>
    <s v="KM 261 + 338M"/>
    <x v="36"/>
    <n v="-16.301870000000001"/>
    <n v="-51.464159000000002"/>
    <s v="PC1-PD1"/>
    <n v="2"/>
    <s v="Crescente/Decrescente"/>
    <s v="60 km/h"/>
  </r>
  <r>
    <x v="5"/>
    <x v="108"/>
    <x v="0"/>
    <s v="060EGO0242"/>
    <s v="GO-060"/>
    <s v="KM 262 + 869M"/>
    <x v="37"/>
    <n v="-16.308102000000002"/>
    <n v="-51.476498999999997"/>
    <s v="PC1-PD1"/>
    <n v="2"/>
    <s v="Crescente/Decrescente"/>
    <s v="60 km/h"/>
  </r>
  <r>
    <x v="5"/>
    <x v="109"/>
    <x v="0"/>
    <s v="164EGO0070"/>
    <s v="GO-164"/>
    <s v="KM 67 + 954M"/>
    <x v="38"/>
    <n v="-19.010909999999999"/>
    <n v="-50.672190000000001"/>
    <s v="PD1"/>
    <n v="1"/>
    <s v="Decrescente"/>
    <s v="40 km/h"/>
  </r>
  <r>
    <x v="5"/>
    <x v="110"/>
    <x v="0"/>
    <s v="174EGO0130"/>
    <s v="GO-174"/>
    <s v="KM 218 + 824M"/>
    <x v="30"/>
    <n v="-17.878209999999999"/>
    <n v="-50.96452"/>
    <s v="PC1-PD1"/>
    <n v="2"/>
    <s v="Crescente/Decrescente"/>
    <s v="40 km/h"/>
  </r>
  <r>
    <x v="5"/>
    <x v="111"/>
    <x v="0"/>
    <s v="174EGO0210"/>
    <s v="GO-174"/>
    <s v="KM 285 + 38M"/>
    <x v="39"/>
    <n v="-17.446985000000002"/>
    <n v="-51.169713999999999"/>
    <s v="PC1"/>
    <n v="1"/>
    <s v="Crescente"/>
    <s v="40 km/h"/>
  </r>
  <r>
    <x v="5"/>
    <x v="112"/>
    <x v="0"/>
    <s v="174EGO0210"/>
    <s v="GO-174"/>
    <s v="KM 285 + 314M"/>
    <x v="39"/>
    <n v="-17.444789"/>
    <n v="-51.170997"/>
    <s v="PD1"/>
    <n v="1"/>
    <s v="Decrescente"/>
    <s v="40 km/h"/>
  </r>
  <r>
    <x v="5"/>
    <x v="113"/>
    <x v="0"/>
    <s v="220EGO0092"/>
    <s v="GO-220"/>
    <s v="KM 120 + 190M"/>
    <x v="40"/>
    <n v="-17.531146"/>
    <n v="-52.061875000000001"/>
    <s v="PC1-PD1"/>
    <n v="2"/>
    <s v="Crescente/Decrescente"/>
    <s v="40 km/h"/>
  </r>
  <r>
    <x v="5"/>
    <x v="114"/>
    <x v="0"/>
    <s v="221EGO0010"/>
    <s v="GO-221"/>
    <s v="KM 7 + 409M"/>
    <x v="26"/>
    <n v="-16.4983"/>
    <n v="-51.183655000000002"/>
    <s v="PC1-PD1"/>
    <n v="2"/>
    <s v="Crescente/Decrescente"/>
    <s v="60 km/h"/>
  </r>
  <r>
    <x v="5"/>
    <x v="115"/>
    <x v="0"/>
    <s v="221EGO0050"/>
    <s v="GO-221"/>
    <s v="KM 99 + 783M"/>
    <x v="41"/>
    <n v="-16.935421000000002"/>
    <n v="-51.785350999999999"/>
    <s v="PC1-PD1"/>
    <n v="2"/>
    <s v="Crescente/Decrescente"/>
    <s v="40 km/h"/>
  </r>
  <r>
    <x v="5"/>
    <x v="116"/>
    <x v="0"/>
    <s v="302EGO0050"/>
    <s v="GO-302"/>
    <s v="KM 82 + 434M"/>
    <x v="42"/>
    <n v="-19.070689000000002"/>
    <n v="-51.534475999999998"/>
    <s v="PC1-PD1"/>
    <n v="2"/>
    <s v="Crescente/Decrescente"/>
    <s v="40 km/h"/>
  </r>
  <r>
    <x v="5"/>
    <x v="117"/>
    <x v="0"/>
    <s v="341EGO0050"/>
    <s v="GO-341"/>
    <s v="KM 108 + 537M"/>
    <x v="43"/>
    <n v="-17.586549000000002"/>
    <n v="-52.554932000000001"/>
    <s v="PC1"/>
    <n v="1"/>
    <s v="Crescente"/>
    <s v="40 km/h"/>
  </r>
  <r>
    <x v="5"/>
    <x v="118"/>
    <x v="0"/>
    <s v="341EGO0050"/>
    <s v="GO-341"/>
    <s v="KM 108 + 789M"/>
    <x v="43"/>
    <n v="-17.585239999999999"/>
    <n v="-52.552976000000001"/>
    <s v="PD1"/>
    <n v="1"/>
    <s v="Decrescente"/>
    <s v="40 km/h"/>
  </r>
  <r>
    <x v="5"/>
    <x v="119"/>
    <x v="0"/>
    <s v="341EGO0050"/>
    <s v="GO-341"/>
    <s v="KM 109 + 482M"/>
    <x v="43"/>
    <n v="-17.582388999999999"/>
    <n v="-52.547170999999999"/>
    <s v="PD1"/>
    <n v="1"/>
    <s v="Decrescente"/>
    <s v="40 km/h"/>
  </r>
  <r>
    <x v="5"/>
    <x v="120"/>
    <x v="0"/>
    <s v="572EGO0010"/>
    <s v="GO-572"/>
    <s v="KM 0 + 147M"/>
    <x v="26"/>
    <n v="-16.434301000000001"/>
    <n v="-51.108566000000003"/>
    <s v="PC1"/>
    <n v="1"/>
    <s v="Crescente"/>
    <s v="40 km/h"/>
  </r>
  <r>
    <x v="5"/>
    <x v="121"/>
    <x v="0"/>
    <s v="572EGO0010"/>
    <s v="GO-572"/>
    <s v="KM 0 + 245M"/>
    <x v="26"/>
    <n v="-16.435043"/>
    <n v="-51.108066999999998"/>
    <s v="PD1"/>
    <n v="1"/>
    <s v="Decrescente"/>
    <s v="40 km/h"/>
  </r>
  <r>
    <x v="5"/>
    <x v="122"/>
    <x v="0"/>
    <s v="572EGO0010"/>
    <s v="GO-572"/>
    <s v="KM 0 + 435M"/>
    <x v="26"/>
    <n v="-16.436737000000001"/>
    <n v="-51.107647"/>
    <s v="PC1"/>
    <n v="1"/>
    <s v="Crescente"/>
    <s v="40 km/h"/>
  </r>
  <r>
    <x v="5"/>
    <x v="123"/>
    <x v="0"/>
    <s v="060EGO0246"/>
    <s v="GO-060"/>
    <s v="KM 278+600"/>
    <x v="44"/>
    <s v="-16.379836 "/>
    <s v=" -51.559563° "/>
    <s v="PC1"/>
    <n v="1"/>
    <s v="Crescente"/>
    <s v="40 km/h"/>
  </r>
  <r>
    <x v="5"/>
    <x v="123"/>
    <x v="0"/>
    <s v="060EGO0250"/>
    <s v="GO-060"/>
    <s v="KM 279+600"/>
    <x v="44"/>
    <s v="-16.384749°"/>
    <s v="-51.563965°"/>
    <s v="PD1"/>
    <n v="1"/>
    <s v="Decrescente"/>
    <s v="40 km/h"/>
  </r>
  <r>
    <x v="6"/>
    <x v="124"/>
    <x v="0"/>
    <s v="156EGO0235"/>
    <s v="GO-156"/>
    <s v="KM 142 + 931M"/>
    <x v="6"/>
    <n v="-16.012187999999998"/>
    <n v="-49.799067999999998"/>
    <s v="PC1-PC2"/>
    <n v="2"/>
    <s v="Crescente"/>
    <s v="40 km/h"/>
  </r>
  <r>
    <x v="6"/>
    <x v="125"/>
    <x v="0"/>
    <s v="156EGO0235"/>
    <s v="GO-156"/>
    <s v="KM 143 + 528M"/>
    <x v="6"/>
    <n v="-16.007830999999999"/>
    <n v="-49.795772999999997"/>
    <s v="PD1-PD2"/>
    <n v="2"/>
    <s v="Decrescente"/>
    <s v="40 km/h"/>
  </r>
  <r>
    <x v="6"/>
    <x v="126"/>
    <x v="0"/>
    <s v="156EGO0240"/>
    <s v="GO-156"/>
    <s v="KM 144 + 877M"/>
    <x v="6"/>
    <n v="-15.997681999999999"/>
    <n v="-49.788994000000002"/>
    <s v="PC1"/>
    <n v="1"/>
    <s v="Crescente"/>
    <s v="60 km/h"/>
  </r>
  <r>
    <x v="6"/>
    <x v="127"/>
    <x v="0"/>
    <s v="156EGO0240"/>
    <s v="GO-156"/>
    <s v="KM 144 + 1000M"/>
    <x v="6"/>
    <n v="-15.996573"/>
    <n v="-49.789042999999999"/>
    <s v="PD1"/>
    <n v="1"/>
    <s v="Decrescente"/>
    <s v="60 km/h"/>
  </r>
  <r>
    <x v="6"/>
    <x v="128"/>
    <x v="0"/>
    <s v="156EGO0240"/>
    <s v="GO-156"/>
    <s v="KM 153 + 66M"/>
    <x v="6"/>
    <n v="-15.924687"/>
    <n v="-49.790208"/>
    <s v="PD1"/>
    <n v="1"/>
    <s v="Decrescente"/>
    <s v="40 km/h"/>
  </r>
  <r>
    <x v="6"/>
    <x v="128"/>
    <x v="0"/>
    <s v="156EGO0240"/>
    <s v="GO-156"/>
    <s v="KM 153 + 87M"/>
    <x v="6"/>
    <n v="-15.924492000000001"/>
    <n v="-49.790162000000002"/>
    <s v="PC1"/>
    <n v="1"/>
    <s v="Crescente"/>
    <s v="40 km/h"/>
  </r>
  <r>
    <x v="6"/>
    <x v="129"/>
    <x v="0"/>
    <s v="156EGO0250"/>
    <s v="GO-156"/>
    <s v="KM 177 + 921M"/>
    <x v="45"/>
    <n v="-15.717552"/>
    <n v="-49.825437000000001"/>
    <s v="PD1-PD2"/>
    <n v="2"/>
    <s v="Decrescente"/>
    <s v="40 km/h"/>
  </r>
  <r>
    <x v="6"/>
    <x v="130"/>
    <x v="0"/>
    <s v="156EGO0275"/>
    <s v="GO-156"/>
    <s v="KM 202 + 353M"/>
    <x v="7"/>
    <n v="-15.557323"/>
    <n v="-49.930905000000003"/>
    <s v="PC1-PD1"/>
    <n v="2"/>
    <s v="Crescente/Decrescente"/>
    <s v="40 km/h"/>
  </r>
  <r>
    <x v="6"/>
    <x v="131"/>
    <x v="0"/>
    <s v="164EGO0550"/>
    <s v="GO-164"/>
    <s v="KM 488 + 269M"/>
    <x v="9"/>
    <n v="-15.958902999999999"/>
    <n v="-50.131144999999997"/>
    <s v="PD1-PD2"/>
    <n v="2"/>
    <s v="Decrescente"/>
    <s v="40 km/h"/>
  </r>
  <r>
    <x v="6"/>
    <x v="132"/>
    <x v="0"/>
    <s v="164EGO0550"/>
    <s v="GO-164"/>
    <s v="KM 489 + 423M"/>
    <x v="9"/>
    <n v="-15.948729999999999"/>
    <n v="-50.130623"/>
    <s v="PD1"/>
    <n v="1"/>
    <s v="Decrescente"/>
    <s v="40 km/h"/>
  </r>
  <r>
    <x v="6"/>
    <x v="132"/>
    <x v="0"/>
    <s v="164EGO0550"/>
    <s v="GO-164"/>
    <s v="KM 489 + 464M"/>
    <x v="9"/>
    <n v="-15.94835"/>
    <n v="-50.130645999999999"/>
    <s v="PC1-PC2"/>
    <n v="2"/>
    <s v="Crescente"/>
    <s v="40 km/h"/>
  </r>
  <r>
    <x v="6"/>
    <x v="133"/>
    <x v="0"/>
    <s v="164EGO0550"/>
    <s v="GO-164"/>
    <s v="KM 489 + 709M"/>
    <x v="9"/>
    <n v="-15.946216"/>
    <n v="-50.131278000000002"/>
    <s v="PC1-PC2"/>
    <n v="2"/>
    <s v="Crescente"/>
    <s v="40 km/h"/>
  </r>
  <r>
    <x v="6"/>
    <x v="134"/>
    <x v="0"/>
    <s v="164EGO0550"/>
    <s v="GO-164"/>
    <s v="KM 489 + 736M"/>
    <x v="9"/>
    <n v="-15.946026"/>
    <n v="-50.131489000000002"/>
    <s v="PD1-PD2"/>
    <n v="2"/>
    <s v="Decrescente"/>
    <s v="40 km/h"/>
  </r>
  <r>
    <x v="6"/>
    <x v="135"/>
    <x v="0"/>
    <s v="164EGO0550"/>
    <s v="GO-164"/>
    <s v="KM 489 + 880M"/>
    <x v="9"/>
    <n v="-15.944747"/>
    <n v="-50.13176"/>
    <s v="PC1-PC2"/>
    <n v="2"/>
    <s v="Crescente"/>
    <s v="40 km/h"/>
  </r>
  <r>
    <x v="6"/>
    <x v="136"/>
    <x v="0"/>
    <s v="164EGO0550"/>
    <s v="GO-164"/>
    <s v="KM 491 + 550M"/>
    <x v="9"/>
    <n v="-15.930934000000001"/>
    <n v="-50.137450999999999"/>
    <s v="PC1-PD1"/>
    <n v="2"/>
    <s v="Crescente/Decrescente"/>
    <s v="60 km/h"/>
  </r>
  <r>
    <x v="6"/>
    <x v="137"/>
    <x v="1"/>
    <s v="164EGO0555"/>
    <s v="GO-164"/>
    <s v="KM 497 + 512M"/>
    <x v="9"/>
    <n v="-15.892329"/>
    <n v="-50.10483"/>
    <s v="PD1"/>
    <n v="1"/>
    <s v="Decrescente"/>
    <s v="60 km/h"/>
  </r>
  <r>
    <x v="6"/>
    <x v="138"/>
    <x v="0"/>
    <s v="338EGO0103"/>
    <s v="GO-338"/>
    <s v="KM 141 + 547M"/>
    <x v="1"/>
    <n v="-15.282467"/>
    <n v="-49.134962000000002"/>
    <s v="PC1-PD1"/>
    <n v="2"/>
    <s v="Crescente/Decrescente"/>
    <s v="60 km/h"/>
  </r>
  <r>
    <x v="6"/>
    <x v="139"/>
    <x v="1"/>
    <s v="156EGO0240"/>
    <s v="GO-156"/>
    <s v="KM 148 + 000M"/>
    <x v="6"/>
    <s v="-15.929201°"/>
    <s v="-49.789908°"/>
    <s v="PC1-PD1"/>
    <n v="2"/>
    <s v="Crescente/Decrescente"/>
    <s v="60 km/h"/>
  </r>
  <r>
    <x v="6"/>
    <x v="140"/>
    <x v="0"/>
    <s v="156EGO0240"/>
    <s v="GO-156"/>
    <s v="KM 149 + 150M"/>
    <x v="6"/>
    <s v="-15.920164°"/>
    <s v="-49.790387°"/>
    <s v="PD1"/>
    <n v="1"/>
    <s v="Decrescente"/>
    <s v="40 km/h"/>
  </r>
  <r>
    <x v="6"/>
    <x v="141"/>
    <x v="0"/>
    <s v="154EGO0195 "/>
    <s v="GO-154"/>
    <s v="KM 187+700M"/>
    <x v="3"/>
    <s v="-15.553809° "/>
    <s v="-49.662884°"/>
    <s v="PC1"/>
    <n v="1"/>
    <s v="Crescente"/>
    <s v="60 km/h"/>
  </r>
  <r>
    <x v="6"/>
    <x v="141"/>
    <x v="0"/>
    <s v="154EGO0195 "/>
    <s v="GO-154"/>
    <s v="KM 187+820M"/>
    <x v="3"/>
    <s v="-15.552806°"/>
    <s v="-49.663123°"/>
    <s v="PD1"/>
    <n v="1"/>
    <s v="Decrescente"/>
    <s v="60 km/h"/>
  </r>
  <r>
    <x v="7"/>
    <x v="142"/>
    <x v="2"/>
    <m/>
    <m/>
    <m/>
    <x v="46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40C71-86C5-4810-8D8C-34D2A76C3F0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9" firstHeaderRow="1" firstDataRow="2" firstDataCol="1" rowPageCount="1" colPageCount="1"/>
  <pivotFields count="13">
    <pivotField axis="axisPage" showAll="0">
      <items count="9">
        <item x="3"/>
        <item x="0"/>
        <item x="1"/>
        <item x="4"/>
        <item x="2"/>
        <item x="5"/>
        <item x="6"/>
        <item x="7"/>
        <item t="default"/>
      </items>
    </pivotField>
    <pivotField axis="axisRow" showAll="0">
      <items count="144">
        <item x="106"/>
        <item x="71"/>
        <item x="72"/>
        <item x="107"/>
        <item x="108"/>
        <item x="1"/>
        <item x="2"/>
        <item x="6"/>
        <item x="4"/>
        <item x="5"/>
        <item x="7"/>
        <item x="8"/>
        <item x="9"/>
        <item x="39"/>
        <item x="40"/>
        <item x="41"/>
        <item x="45"/>
        <item x="42"/>
        <item x="43"/>
        <item x="130"/>
        <item x="124"/>
        <item x="125"/>
        <item x="17"/>
        <item x="126"/>
        <item x="127"/>
        <item x="128"/>
        <item x="18"/>
        <item x="19"/>
        <item x="20"/>
        <item x="21"/>
        <item x="131"/>
        <item x="132"/>
        <item x="133"/>
        <item x="134"/>
        <item x="135"/>
        <item x="136"/>
        <item x="137"/>
        <item x="24"/>
        <item x="109"/>
        <item x="73"/>
        <item x="74"/>
        <item x="75"/>
        <item x="28"/>
        <item x="110"/>
        <item x="82"/>
        <item x="111"/>
        <item x="112"/>
        <item x="83"/>
        <item x="84"/>
        <item x="89"/>
        <item x="88"/>
        <item x="87"/>
        <item x="86"/>
        <item x="85"/>
        <item x="92"/>
        <item x="93"/>
        <item x="94"/>
        <item x="95"/>
        <item x="96"/>
        <item x="97"/>
        <item x="32"/>
        <item x="33"/>
        <item x="47"/>
        <item x="48"/>
        <item x="49"/>
        <item x="50"/>
        <item x="53"/>
        <item x="52"/>
        <item x="116"/>
        <item x="138"/>
        <item x="119"/>
        <item x="118"/>
        <item x="117"/>
        <item x="54"/>
        <item x="56"/>
        <item x="55"/>
        <item x="57"/>
        <item x="58"/>
        <item x="62"/>
        <item x="61"/>
        <item x="63"/>
        <item x="64"/>
        <item x="120"/>
        <item x="121"/>
        <item x="122"/>
        <item x="60"/>
        <item x="10"/>
        <item x="0"/>
        <item x="3"/>
        <item x="16"/>
        <item x="46"/>
        <item x="44"/>
        <item x="15"/>
        <item x="13"/>
        <item x="14"/>
        <item x="11"/>
        <item x="12"/>
        <item x="22"/>
        <item x="129"/>
        <item x="23"/>
        <item x="27"/>
        <item x="25"/>
        <item x="26"/>
        <item x="76"/>
        <item x="77"/>
        <item x="78"/>
        <item x="79"/>
        <item x="80"/>
        <item x="81"/>
        <item x="91"/>
        <item x="90"/>
        <item x="103"/>
        <item x="102"/>
        <item x="98"/>
        <item x="99"/>
        <item x="100"/>
        <item x="101"/>
        <item x="113"/>
        <item x="104"/>
        <item x="105"/>
        <item x="115"/>
        <item x="114"/>
        <item x="29"/>
        <item x="30"/>
        <item x="31"/>
        <item x="51"/>
        <item x="59"/>
        <item x="34"/>
        <item x="65"/>
        <item x="139"/>
        <item x="37"/>
        <item x="38"/>
        <item x="68"/>
        <item x="69"/>
        <item x="35"/>
        <item x="67"/>
        <item x="66"/>
        <item x="36"/>
        <item x="141"/>
        <item x="140"/>
        <item x="70"/>
        <item x="123"/>
        <item x="14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48">
        <item x="22"/>
        <item x="31"/>
        <item x="44"/>
        <item x="37"/>
        <item x="2"/>
        <item x="11"/>
        <item x="33"/>
        <item sd="0" x="41"/>
        <item x="5"/>
        <item x="14"/>
        <item x="15"/>
        <item sd="0" x="35"/>
        <item sd="0" x="9"/>
        <item x="24"/>
        <item x="8"/>
        <item sd="0" x="36"/>
        <item x="13"/>
        <item sd="0" x="1"/>
        <item x="23"/>
        <item sd="0" x="45"/>
        <item sd="0" x="26"/>
        <item x="6"/>
        <item sd="0" x="42"/>
        <item x="16"/>
        <item x="7"/>
        <item x="34"/>
        <item x="0"/>
        <item x="32"/>
        <item sd="0" x="43"/>
        <item sd="0" x="39"/>
        <item x="21"/>
        <item x="12"/>
        <item x="10"/>
        <item x="19"/>
        <item x="27"/>
        <item sd="0" x="40"/>
        <item x="17"/>
        <item x="18"/>
        <item x="28"/>
        <item sd="0" x="30"/>
        <item x="25"/>
        <item x="29"/>
        <item x="4"/>
        <item x="20"/>
        <item sd="0" x="38"/>
        <item x="3"/>
        <item x="46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2">
    <field x="6"/>
    <field x="1"/>
  </rowFields>
  <rowItems count="15">
    <i>
      <x v="2"/>
    </i>
    <i r="1">
      <x v="141"/>
    </i>
    <i>
      <x v="3"/>
    </i>
    <i r="1">
      <x v="4"/>
    </i>
    <i>
      <x v="7"/>
    </i>
    <i>
      <x v="11"/>
    </i>
    <i>
      <x v="15"/>
    </i>
    <i>
      <x v="20"/>
    </i>
    <i>
      <x v="22"/>
    </i>
    <i>
      <x v="28"/>
    </i>
    <i>
      <x v="29"/>
    </i>
    <i>
      <x v="35"/>
    </i>
    <i>
      <x v="39"/>
    </i>
    <i>
      <x v="44"/>
    </i>
    <i t="grand">
      <x/>
    </i>
  </rowItems>
  <colFields count="1">
    <field x="2"/>
  </colFields>
  <colItems count="2">
    <i>
      <x v="1"/>
    </i>
    <i t="grand">
      <x/>
    </i>
  </colItems>
  <pageFields count="1">
    <pageField fld="0" item="5" hier="-1"/>
  </pageFields>
  <dataFields count="1">
    <dataField name="Soma de Nº DE FAIXAS" fld="10" baseField="0" baseItem="0"/>
  </dataFields>
  <formats count="14">
    <format dxfId="27">
      <pivotArea outline="0" collapsedLevelsAreSubtotals="1" fieldPosition="0">
        <references count="1">
          <reference field="2" count="2" selected="0">
            <x v="0"/>
            <x v="1"/>
          </reference>
        </references>
      </pivotArea>
    </format>
    <format dxfId="26">
      <pivotArea dataOnly="0" labelOnly="1" outline="0" fieldPosition="0">
        <references count="1">
          <reference field="0" count="1">
            <x v="6"/>
          </reference>
        </references>
      </pivotArea>
    </format>
    <format dxfId="25">
      <pivotArea field="2" type="button" dataOnly="0" labelOnly="1" outline="0" axis="axisCol" fieldPosition="0"/>
    </format>
    <format dxfId="24">
      <pivotArea type="topRight" dataOnly="0" labelOnly="1" outline="0" fieldPosition="0"/>
    </format>
    <format dxfId="23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22">
      <pivotArea outline="0" collapsedLevelsAreSubtotals="1" fieldPosition="0">
        <references count="1">
          <reference field="2" count="2" selected="0">
            <x v="0"/>
            <x v="1"/>
          </reference>
        </references>
      </pivotArea>
    </format>
    <format dxfId="21">
      <pivotArea dataOnly="0" labelOnly="1" outline="0" fieldPosition="0">
        <references count="1">
          <reference field="0" count="1">
            <x v="6"/>
          </reference>
        </references>
      </pivotArea>
    </format>
    <format dxfId="20">
      <pivotArea field="2" type="button" dataOnly="0" labelOnly="1" outline="0" axis="axisCol" fieldPosition="0"/>
    </format>
    <format dxfId="19">
      <pivotArea type="topRight" dataOnly="0" labelOnly="1" outline="0" fieldPosition="0"/>
    </format>
    <format dxfId="18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17">
      <pivotArea collapsedLevelsAreSubtotals="1" fieldPosition="0">
        <references count="2">
          <reference field="1" count="2">
            <x v="129"/>
            <x v="139"/>
          </reference>
          <reference field="6" count="1" selected="0">
            <x v="21"/>
          </reference>
        </references>
      </pivotArea>
    </format>
    <format dxfId="16">
      <pivotArea dataOnly="0" labelOnly="1" fieldPosition="0">
        <references count="2">
          <reference field="1" count="2">
            <x v="129"/>
            <x v="139"/>
          </reference>
          <reference field="6" count="1" selected="0">
            <x v="21"/>
          </reference>
        </references>
      </pivotArea>
    </format>
    <format dxfId="15">
      <pivotArea collapsedLevelsAreSubtotals="1" fieldPosition="0">
        <references count="2">
          <reference field="1" count="1">
            <x v="138"/>
          </reference>
          <reference field="6" count="1" selected="0">
            <x v="45"/>
          </reference>
        </references>
      </pivotArea>
    </format>
    <format dxfId="14">
      <pivotArea dataOnly="0" labelOnly="1" fieldPosition="0">
        <references count="2">
          <reference field="1" count="1">
            <x v="138"/>
          </reference>
          <reference field="6" count="1" selected="0">
            <x v="4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5A07C-7C8C-4B2C-AEBB-DE1DDAB963A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20" firstHeaderRow="1" firstDataRow="2" firstDataCol="1" rowPageCount="1" colPageCount="1"/>
  <pivotFields count="13">
    <pivotField axis="axisPage" showAll="0">
      <items count="9">
        <item x="3"/>
        <item x="0"/>
        <item x="1"/>
        <item x="4"/>
        <item x="2"/>
        <item x="5"/>
        <item x="6"/>
        <item x="7"/>
        <item t="default"/>
      </items>
    </pivotField>
    <pivotField axis="axisRow" showAll="0">
      <items count="144">
        <item x="106"/>
        <item x="71"/>
        <item x="72"/>
        <item x="107"/>
        <item x="108"/>
        <item x="1"/>
        <item x="2"/>
        <item x="6"/>
        <item x="4"/>
        <item x="5"/>
        <item x="7"/>
        <item x="8"/>
        <item x="9"/>
        <item x="39"/>
        <item x="40"/>
        <item x="41"/>
        <item x="45"/>
        <item x="42"/>
        <item x="43"/>
        <item x="130"/>
        <item x="124"/>
        <item x="125"/>
        <item x="17"/>
        <item x="126"/>
        <item x="127"/>
        <item x="128"/>
        <item x="18"/>
        <item x="19"/>
        <item x="20"/>
        <item x="21"/>
        <item x="131"/>
        <item x="132"/>
        <item x="133"/>
        <item x="134"/>
        <item x="135"/>
        <item x="136"/>
        <item x="137"/>
        <item x="24"/>
        <item x="109"/>
        <item x="73"/>
        <item x="74"/>
        <item x="75"/>
        <item x="28"/>
        <item x="110"/>
        <item x="82"/>
        <item x="111"/>
        <item x="112"/>
        <item x="83"/>
        <item x="84"/>
        <item x="89"/>
        <item x="88"/>
        <item x="87"/>
        <item x="86"/>
        <item x="85"/>
        <item x="92"/>
        <item x="93"/>
        <item x="94"/>
        <item x="95"/>
        <item x="96"/>
        <item x="97"/>
        <item x="32"/>
        <item x="33"/>
        <item x="47"/>
        <item x="48"/>
        <item x="49"/>
        <item x="50"/>
        <item x="53"/>
        <item x="52"/>
        <item x="116"/>
        <item x="138"/>
        <item x="119"/>
        <item x="118"/>
        <item x="117"/>
        <item x="54"/>
        <item x="56"/>
        <item x="55"/>
        <item x="57"/>
        <item x="58"/>
        <item x="62"/>
        <item x="61"/>
        <item x="63"/>
        <item x="64"/>
        <item x="120"/>
        <item x="121"/>
        <item x="122"/>
        <item x="60"/>
        <item x="10"/>
        <item x="0"/>
        <item x="3"/>
        <item x="16"/>
        <item x="46"/>
        <item x="44"/>
        <item x="15"/>
        <item x="13"/>
        <item x="14"/>
        <item x="11"/>
        <item x="12"/>
        <item x="22"/>
        <item x="129"/>
        <item x="23"/>
        <item x="27"/>
        <item x="25"/>
        <item x="26"/>
        <item x="76"/>
        <item x="77"/>
        <item x="78"/>
        <item x="79"/>
        <item x="80"/>
        <item x="81"/>
        <item x="91"/>
        <item x="90"/>
        <item x="103"/>
        <item x="102"/>
        <item x="98"/>
        <item x="99"/>
        <item x="100"/>
        <item x="101"/>
        <item x="113"/>
        <item x="104"/>
        <item x="105"/>
        <item x="115"/>
        <item x="114"/>
        <item x="29"/>
        <item x="30"/>
        <item x="31"/>
        <item x="51"/>
        <item x="59"/>
        <item x="34"/>
        <item x="65"/>
        <item x="139"/>
        <item x="37"/>
        <item x="38"/>
        <item x="68"/>
        <item x="69"/>
        <item x="35"/>
        <item x="67"/>
        <item x="66"/>
        <item x="36"/>
        <item x="141"/>
        <item x="140"/>
        <item x="70"/>
        <item x="123"/>
        <item x="14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48">
        <item x="22"/>
        <item x="31"/>
        <item x="44"/>
        <item x="37"/>
        <item x="2"/>
        <item x="11"/>
        <item x="33"/>
        <item x="41"/>
        <item x="5"/>
        <item x="14"/>
        <item x="15"/>
        <item x="35"/>
        <item sd="0" x="9"/>
        <item x="24"/>
        <item x="8"/>
        <item x="36"/>
        <item x="13"/>
        <item sd="0" x="1"/>
        <item x="23"/>
        <item sd="0" x="45"/>
        <item x="26"/>
        <item x="6"/>
        <item x="42"/>
        <item x="16"/>
        <item x="7"/>
        <item x="34"/>
        <item x="0"/>
        <item x="32"/>
        <item x="43"/>
        <item x="39"/>
        <item x="21"/>
        <item x="12"/>
        <item x="10"/>
        <item x="19"/>
        <item x="27"/>
        <item x="40"/>
        <item x="17"/>
        <item x="18"/>
        <item x="28"/>
        <item x="30"/>
        <item x="25"/>
        <item x="29"/>
        <item x="4"/>
        <item x="20"/>
        <item x="38"/>
        <item x="3"/>
        <item x="46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2">
    <field x="6"/>
    <field x="1"/>
  </rowFields>
  <rowItems count="16">
    <i>
      <x v="12"/>
    </i>
    <i>
      <x v="17"/>
    </i>
    <i>
      <x v="19"/>
    </i>
    <i>
      <x v="21"/>
    </i>
    <i r="1">
      <x v="20"/>
    </i>
    <i r="1">
      <x v="21"/>
    </i>
    <i r="1">
      <x v="23"/>
    </i>
    <i r="1">
      <x v="24"/>
    </i>
    <i r="1">
      <x v="25"/>
    </i>
    <i r="1">
      <x v="129"/>
    </i>
    <i r="1">
      <x v="139"/>
    </i>
    <i>
      <x v="24"/>
    </i>
    <i r="1">
      <x v="19"/>
    </i>
    <i>
      <x v="45"/>
    </i>
    <i r="1">
      <x v="138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0" item="6" hier="-1"/>
  </pageFields>
  <dataFields count="1">
    <dataField name="Soma de Nº DE FAIXAS" fld="10" baseField="0" baseItem="0"/>
  </dataFields>
  <formats count="14">
    <format dxfId="13">
      <pivotArea outline="0" collapsedLevelsAreSubtotals="1" fieldPosition="0">
        <references count="1">
          <reference field="2" count="2" selected="0">
            <x v="0"/>
            <x v="1"/>
          </reference>
        </references>
      </pivotArea>
    </format>
    <format dxfId="12">
      <pivotArea dataOnly="0" labelOnly="1" outline="0" fieldPosition="0">
        <references count="1">
          <reference field="0" count="1">
            <x v="6"/>
          </reference>
        </references>
      </pivotArea>
    </format>
    <format dxfId="11">
      <pivotArea field="2" type="button" dataOnly="0" labelOnly="1" outline="0" axis="axisCol" fieldPosition="0"/>
    </format>
    <format dxfId="10">
      <pivotArea type="topRight" dataOnly="0" labelOnly="1" outline="0" fieldPosition="0"/>
    </format>
    <format dxfId="9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8">
      <pivotArea outline="0" collapsedLevelsAreSubtotals="1" fieldPosition="0">
        <references count="1">
          <reference field="2" count="2" selected="0">
            <x v="0"/>
            <x v="1"/>
          </reference>
        </references>
      </pivotArea>
    </format>
    <format dxfId="7">
      <pivotArea dataOnly="0" labelOnly="1" outline="0" fieldPosition="0">
        <references count="1">
          <reference field="0" count="1">
            <x v="6"/>
          </reference>
        </references>
      </pivotArea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3">
      <pivotArea collapsedLevelsAreSubtotals="1" fieldPosition="0">
        <references count="2">
          <reference field="1" count="2">
            <x v="129"/>
            <x v="139"/>
          </reference>
          <reference field="6" count="1" selected="0">
            <x v="21"/>
          </reference>
        </references>
      </pivotArea>
    </format>
    <format dxfId="2">
      <pivotArea dataOnly="0" labelOnly="1" fieldPosition="0">
        <references count="2">
          <reference field="1" count="2">
            <x v="129"/>
            <x v="139"/>
          </reference>
          <reference field="6" count="1" selected="0">
            <x v="21"/>
          </reference>
        </references>
      </pivotArea>
    </format>
    <format dxfId="1">
      <pivotArea collapsedLevelsAreSubtotals="1" fieldPosition="0">
        <references count="2">
          <reference field="1" count="1">
            <x v="138"/>
          </reference>
          <reference field="6" count="1" selected="0">
            <x v="45"/>
          </reference>
        </references>
      </pivotArea>
    </format>
    <format dxfId="0">
      <pivotArea dataOnly="0" labelOnly="1" fieldPosition="0">
        <references count="2">
          <reference field="1" count="1">
            <x v="138"/>
          </reference>
          <reference field="6" count="1" selected="0">
            <x v="4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6393-87CA-47D0-BBA2-0B7EE403A1A1}">
  <dimension ref="A1:Q61"/>
  <sheetViews>
    <sheetView tabSelected="1" workbookViewId="0">
      <selection activeCell="G7" sqref="G7"/>
    </sheetView>
  </sheetViews>
  <sheetFormatPr defaultRowHeight="15" x14ac:dyDescent="0.25"/>
  <cols>
    <col min="1" max="1" width="30" customWidth="1"/>
    <col min="2" max="16" width="17.7109375" customWidth="1"/>
  </cols>
  <sheetData>
    <row r="1" spans="1:17" ht="32.25" thickBot="1" x14ac:dyDescent="0.3">
      <c r="A1" s="23" t="s">
        <v>265</v>
      </c>
      <c r="B1" s="24" t="s">
        <v>283</v>
      </c>
      <c r="C1" s="24" t="s">
        <v>284</v>
      </c>
      <c r="D1" s="24" t="s">
        <v>285</v>
      </c>
      <c r="E1" s="24" t="s">
        <v>77</v>
      </c>
      <c r="F1" s="24" t="s">
        <v>78</v>
      </c>
      <c r="G1" s="24" t="s">
        <v>286</v>
      </c>
      <c r="H1" s="24" t="s">
        <v>80</v>
      </c>
      <c r="I1" s="24" t="s">
        <v>81</v>
      </c>
      <c r="J1" s="24" t="s">
        <v>82</v>
      </c>
      <c r="K1" s="24" t="s">
        <v>83</v>
      </c>
      <c r="L1" s="24" t="s">
        <v>84</v>
      </c>
      <c r="M1" s="25" t="s">
        <v>85</v>
      </c>
      <c r="N1" s="26" t="s">
        <v>287</v>
      </c>
      <c r="O1" s="27" t="s">
        <v>288</v>
      </c>
      <c r="P1" s="28" t="s">
        <v>289</v>
      </c>
      <c r="Q1" s="28" t="s">
        <v>290</v>
      </c>
    </row>
    <row r="2" spans="1:17" ht="30.75" thickBot="1" x14ac:dyDescent="0.3">
      <c r="A2" s="29" t="s">
        <v>260</v>
      </c>
      <c r="B2" s="30" t="s">
        <v>86</v>
      </c>
      <c r="C2" s="30" t="s">
        <v>1</v>
      </c>
      <c r="D2" s="30" t="s">
        <v>87</v>
      </c>
      <c r="E2" s="30" t="s">
        <v>69</v>
      </c>
      <c r="F2" s="30" t="s">
        <v>88</v>
      </c>
      <c r="G2" s="30" t="s">
        <v>89</v>
      </c>
      <c r="H2" s="30">
        <v>-15.362679</v>
      </c>
      <c r="I2" s="30">
        <v>-49.699703</v>
      </c>
      <c r="J2" s="30" t="s">
        <v>16</v>
      </c>
      <c r="K2" s="30">
        <v>1</v>
      </c>
      <c r="L2" s="30" t="s">
        <v>7</v>
      </c>
      <c r="M2" s="31" t="s">
        <v>8</v>
      </c>
      <c r="N2" s="31" t="s">
        <v>291</v>
      </c>
      <c r="O2" s="35" t="s">
        <v>294</v>
      </c>
      <c r="P2" s="35" t="s">
        <v>295</v>
      </c>
      <c r="Q2" s="35" t="s">
        <v>294</v>
      </c>
    </row>
    <row r="3" spans="1:17" ht="30.75" thickBot="1" x14ac:dyDescent="0.3">
      <c r="A3" s="32" t="s">
        <v>260</v>
      </c>
      <c r="B3" s="33" t="s">
        <v>90</v>
      </c>
      <c r="C3" s="33" t="s">
        <v>1</v>
      </c>
      <c r="D3" s="33" t="s">
        <v>87</v>
      </c>
      <c r="E3" s="33" t="s">
        <v>69</v>
      </c>
      <c r="F3" s="33" t="s">
        <v>91</v>
      </c>
      <c r="G3" s="33" t="s">
        <v>89</v>
      </c>
      <c r="H3" s="33">
        <v>-15.359247</v>
      </c>
      <c r="I3" s="33">
        <v>-49.699551</v>
      </c>
      <c r="J3" s="33" t="s">
        <v>20</v>
      </c>
      <c r="K3" s="33">
        <v>1</v>
      </c>
      <c r="L3" s="33" t="s">
        <v>12</v>
      </c>
      <c r="M3" s="34" t="s">
        <v>8</v>
      </c>
      <c r="N3" s="31" t="s">
        <v>291</v>
      </c>
      <c r="O3" s="35" t="s">
        <v>294</v>
      </c>
      <c r="P3" s="35" t="s">
        <v>295</v>
      </c>
      <c r="Q3" s="35" t="s">
        <v>294</v>
      </c>
    </row>
    <row r="4" spans="1:17" ht="30.75" thickBot="1" x14ac:dyDescent="0.3">
      <c r="A4" s="29" t="s">
        <v>260</v>
      </c>
      <c r="B4" s="30" t="s">
        <v>92</v>
      </c>
      <c r="C4" s="30" t="s">
        <v>1</v>
      </c>
      <c r="D4" s="30" t="s">
        <v>93</v>
      </c>
      <c r="E4" s="30" t="s">
        <v>69</v>
      </c>
      <c r="F4" s="30" t="s">
        <v>94</v>
      </c>
      <c r="G4" s="30" t="s">
        <v>95</v>
      </c>
      <c r="H4" s="30">
        <v>-15.33883</v>
      </c>
      <c r="I4" s="30">
        <v>-49.612938</v>
      </c>
      <c r="J4" s="30" t="s">
        <v>32</v>
      </c>
      <c r="K4" s="30">
        <v>2</v>
      </c>
      <c r="L4" s="30" t="s">
        <v>33</v>
      </c>
      <c r="M4" s="31" t="s">
        <v>8</v>
      </c>
      <c r="N4" s="31" t="s">
        <v>291</v>
      </c>
      <c r="O4" s="35" t="s">
        <v>296</v>
      </c>
      <c r="P4" s="35" t="s">
        <v>297</v>
      </c>
      <c r="Q4" s="35" t="s">
        <v>298</v>
      </c>
    </row>
    <row r="5" spans="1:17" ht="15.75" thickBot="1" x14ac:dyDescent="0.3">
      <c r="A5" s="32" t="s">
        <v>260</v>
      </c>
      <c r="B5" s="33" t="s">
        <v>96</v>
      </c>
      <c r="C5" s="33" t="s">
        <v>1</v>
      </c>
      <c r="D5" s="33" t="s">
        <v>97</v>
      </c>
      <c r="E5" s="33" t="s">
        <v>69</v>
      </c>
      <c r="F5" s="33" t="s">
        <v>98</v>
      </c>
      <c r="G5" s="33" t="s">
        <v>99</v>
      </c>
      <c r="H5" s="33">
        <v>-14.948444</v>
      </c>
      <c r="I5" s="33">
        <v>-49.547288000000002</v>
      </c>
      <c r="J5" s="33" t="s">
        <v>6</v>
      </c>
      <c r="K5" s="33">
        <v>2</v>
      </c>
      <c r="L5" s="33" t="s">
        <v>7</v>
      </c>
      <c r="M5" s="34" t="s">
        <v>8</v>
      </c>
      <c r="N5" s="31" t="s">
        <v>291</v>
      </c>
      <c r="O5" s="35" t="s">
        <v>296</v>
      </c>
      <c r="P5" s="35" t="s">
        <v>295</v>
      </c>
      <c r="Q5" s="35" t="s">
        <v>299</v>
      </c>
    </row>
    <row r="6" spans="1:17" ht="15.75" thickBot="1" x14ac:dyDescent="0.3">
      <c r="A6" s="29" t="s">
        <v>260</v>
      </c>
      <c r="B6" s="30" t="s">
        <v>100</v>
      </c>
      <c r="C6" s="30" t="s">
        <v>1</v>
      </c>
      <c r="D6" s="30" t="s">
        <v>97</v>
      </c>
      <c r="E6" s="30" t="s">
        <v>69</v>
      </c>
      <c r="F6" s="30" t="s">
        <v>101</v>
      </c>
      <c r="G6" s="30" t="s">
        <v>99</v>
      </c>
      <c r="H6" s="30">
        <v>-14.947331999999999</v>
      </c>
      <c r="I6" s="30">
        <v>-49.547415000000001</v>
      </c>
      <c r="J6" s="30" t="s">
        <v>11</v>
      </c>
      <c r="K6" s="30">
        <v>2</v>
      </c>
      <c r="L6" s="30" t="s">
        <v>12</v>
      </c>
      <c r="M6" s="31" t="s">
        <v>8</v>
      </c>
      <c r="N6" s="31" t="s">
        <v>291</v>
      </c>
      <c r="O6" s="35" t="s">
        <v>296</v>
      </c>
      <c r="P6" s="35" t="s">
        <v>295</v>
      </c>
      <c r="Q6" s="35" t="s">
        <v>299</v>
      </c>
    </row>
    <row r="7" spans="1:17" ht="30.75" thickBot="1" x14ac:dyDescent="0.3">
      <c r="A7" s="32" t="s">
        <v>260</v>
      </c>
      <c r="B7" s="33" t="s">
        <v>102</v>
      </c>
      <c r="C7" s="33" t="s">
        <v>1</v>
      </c>
      <c r="D7" s="33" t="s">
        <v>103</v>
      </c>
      <c r="E7" s="33" t="s">
        <v>69</v>
      </c>
      <c r="F7" s="33" t="s">
        <v>104</v>
      </c>
      <c r="G7" s="33" t="s">
        <v>105</v>
      </c>
      <c r="H7" s="33">
        <v>-14.725806</v>
      </c>
      <c r="I7" s="33">
        <v>-49.594090000000001</v>
      </c>
      <c r="J7" s="33" t="s">
        <v>32</v>
      </c>
      <c r="K7" s="33">
        <v>2</v>
      </c>
      <c r="L7" s="33" t="s">
        <v>33</v>
      </c>
      <c r="M7" s="34" t="s">
        <v>17</v>
      </c>
      <c r="N7" s="31" t="s">
        <v>292</v>
      </c>
      <c r="O7" s="35" t="s">
        <v>294</v>
      </c>
      <c r="P7" s="35" t="s">
        <v>295</v>
      </c>
      <c r="Q7" s="35" t="s">
        <v>296</v>
      </c>
    </row>
    <row r="8" spans="1:17" ht="30.75" thickBot="1" x14ac:dyDescent="0.3">
      <c r="A8" s="29" t="s">
        <v>260</v>
      </c>
      <c r="B8" s="30" t="s">
        <v>106</v>
      </c>
      <c r="C8" s="30" t="s">
        <v>1</v>
      </c>
      <c r="D8" s="30" t="s">
        <v>103</v>
      </c>
      <c r="E8" s="30" t="s">
        <v>69</v>
      </c>
      <c r="F8" s="30" t="s">
        <v>107</v>
      </c>
      <c r="G8" s="30" t="s">
        <v>108</v>
      </c>
      <c r="H8" s="30">
        <v>-14.579641000000001</v>
      </c>
      <c r="I8" s="30">
        <v>-49.583924000000003</v>
      </c>
      <c r="J8" s="30" t="s">
        <v>32</v>
      </c>
      <c r="K8" s="30">
        <v>2</v>
      </c>
      <c r="L8" s="30" t="s">
        <v>33</v>
      </c>
      <c r="M8" s="31" t="s">
        <v>17</v>
      </c>
      <c r="N8" s="31" t="s">
        <v>291</v>
      </c>
      <c r="O8" s="35" t="s">
        <v>295</v>
      </c>
      <c r="P8" s="35" t="s">
        <v>295</v>
      </c>
      <c r="Q8" s="35" t="s">
        <v>294</v>
      </c>
    </row>
    <row r="9" spans="1:17" ht="30.75" thickBot="1" x14ac:dyDescent="0.3">
      <c r="A9" s="32" t="s">
        <v>260</v>
      </c>
      <c r="B9" s="33" t="s">
        <v>109</v>
      </c>
      <c r="C9" s="33" t="s">
        <v>1</v>
      </c>
      <c r="D9" s="33" t="s">
        <v>110</v>
      </c>
      <c r="E9" s="33" t="s">
        <v>69</v>
      </c>
      <c r="F9" s="33" t="s">
        <v>111</v>
      </c>
      <c r="G9" s="33" t="s">
        <v>108</v>
      </c>
      <c r="H9" s="33">
        <v>-14.345764000000001</v>
      </c>
      <c r="I9" s="33">
        <v>-49.694381</v>
      </c>
      <c r="J9" s="33" t="s">
        <v>32</v>
      </c>
      <c r="K9" s="33">
        <v>2</v>
      </c>
      <c r="L9" s="33" t="s">
        <v>33</v>
      </c>
      <c r="M9" s="34" t="s">
        <v>8</v>
      </c>
      <c r="N9" s="31" t="s">
        <v>291</v>
      </c>
      <c r="O9" s="35" t="s">
        <v>295</v>
      </c>
      <c r="P9" s="35" t="s">
        <v>295</v>
      </c>
      <c r="Q9" s="35" t="s">
        <v>294</v>
      </c>
    </row>
    <row r="10" spans="1:17" ht="15.75" thickBot="1" x14ac:dyDescent="0.3">
      <c r="A10" s="29" t="s">
        <v>260</v>
      </c>
      <c r="B10" s="30" t="s">
        <v>112</v>
      </c>
      <c r="C10" s="30" t="s">
        <v>1</v>
      </c>
      <c r="D10" s="30" t="s">
        <v>113</v>
      </c>
      <c r="E10" s="30" t="s">
        <v>114</v>
      </c>
      <c r="F10" s="30" t="s">
        <v>115</v>
      </c>
      <c r="G10" s="30" t="s">
        <v>116</v>
      </c>
      <c r="H10" s="30">
        <v>-13.414666</v>
      </c>
      <c r="I10" s="30">
        <v>-49.149894000000003</v>
      </c>
      <c r="J10" s="30" t="s">
        <v>16</v>
      </c>
      <c r="K10" s="30">
        <v>1</v>
      </c>
      <c r="L10" s="30" t="s">
        <v>7</v>
      </c>
      <c r="M10" s="31" t="s">
        <v>17</v>
      </c>
      <c r="N10" s="31" t="s">
        <v>292</v>
      </c>
      <c r="O10" s="35" t="s">
        <v>296</v>
      </c>
      <c r="P10" s="35" t="s">
        <v>295</v>
      </c>
      <c r="Q10" s="35" t="s">
        <v>296</v>
      </c>
    </row>
    <row r="11" spans="1:17" ht="15.75" thickBot="1" x14ac:dyDescent="0.3">
      <c r="A11" s="32" t="s">
        <v>260</v>
      </c>
      <c r="B11" s="33" t="s">
        <v>117</v>
      </c>
      <c r="C11" s="33" t="s">
        <v>1</v>
      </c>
      <c r="D11" s="33" t="s">
        <v>113</v>
      </c>
      <c r="E11" s="33" t="s">
        <v>114</v>
      </c>
      <c r="F11" s="33" t="s">
        <v>118</v>
      </c>
      <c r="G11" s="33" t="s">
        <v>116</v>
      </c>
      <c r="H11" s="33">
        <v>-13.414799</v>
      </c>
      <c r="I11" s="33">
        <v>-49.151141000000003</v>
      </c>
      <c r="J11" s="33" t="s">
        <v>20</v>
      </c>
      <c r="K11" s="33">
        <v>1</v>
      </c>
      <c r="L11" s="33" t="s">
        <v>12</v>
      </c>
      <c r="M11" s="34" t="s">
        <v>17</v>
      </c>
      <c r="N11" s="31" t="s">
        <v>292</v>
      </c>
      <c r="O11" s="35" t="s">
        <v>296</v>
      </c>
      <c r="P11" s="35" t="s">
        <v>295</v>
      </c>
      <c r="Q11" s="35" t="s">
        <v>296</v>
      </c>
    </row>
    <row r="12" spans="1:17" ht="15.75" thickBot="1" x14ac:dyDescent="0.3">
      <c r="A12" s="29" t="s">
        <v>260</v>
      </c>
      <c r="B12" s="30" t="s">
        <v>119</v>
      </c>
      <c r="C12" s="30" t="s">
        <v>1</v>
      </c>
      <c r="D12" s="30" t="s">
        <v>120</v>
      </c>
      <c r="E12" s="30" t="s">
        <v>114</v>
      </c>
      <c r="F12" s="30" t="s">
        <v>121</v>
      </c>
      <c r="G12" s="30" t="s">
        <v>116</v>
      </c>
      <c r="H12" s="30">
        <v>-13.420337</v>
      </c>
      <c r="I12" s="30">
        <v>-49.173088</v>
      </c>
      <c r="J12" s="30" t="s">
        <v>16</v>
      </c>
      <c r="K12" s="30">
        <v>1</v>
      </c>
      <c r="L12" s="30" t="s">
        <v>7</v>
      </c>
      <c r="M12" s="31" t="s">
        <v>17</v>
      </c>
      <c r="N12" s="31" t="s">
        <v>292</v>
      </c>
      <c r="O12" s="35" t="s">
        <v>296</v>
      </c>
      <c r="P12" s="35" t="s">
        <v>295</v>
      </c>
      <c r="Q12" s="35" t="s">
        <v>296</v>
      </c>
    </row>
    <row r="13" spans="1:17" ht="15.75" thickBot="1" x14ac:dyDescent="0.3">
      <c r="A13" s="32" t="s">
        <v>260</v>
      </c>
      <c r="B13" s="33" t="s">
        <v>122</v>
      </c>
      <c r="C13" s="33" t="s">
        <v>1</v>
      </c>
      <c r="D13" s="33" t="s">
        <v>120</v>
      </c>
      <c r="E13" s="33" t="s">
        <v>114</v>
      </c>
      <c r="F13" s="33" t="s">
        <v>123</v>
      </c>
      <c r="G13" s="33" t="s">
        <v>116</v>
      </c>
      <c r="H13" s="33">
        <v>-13.420735000000001</v>
      </c>
      <c r="I13" s="33">
        <v>-49.174435000000003</v>
      </c>
      <c r="J13" s="33" t="s">
        <v>20</v>
      </c>
      <c r="K13" s="33">
        <v>1</v>
      </c>
      <c r="L13" s="33" t="s">
        <v>12</v>
      </c>
      <c r="M13" s="34" t="s">
        <v>17</v>
      </c>
      <c r="N13" s="31" t="s">
        <v>292</v>
      </c>
      <c r="O13" s="35" t="s">
        <v>296</v>
      </c>
      <c r="P13" s="35" t="s">
        <v>295</v>
      </c>
      <c r="Q13" s="35" t="s">
        <v>296</v>
      </c>
    </row>
    <row r="14" spans="1:17" ht="30.75" thickBot="1" x14ac:dyDescent="0.3">
      <c r="A14" s="29" t="s">
        <v>260</v>
      </c>
      <c r="B14" s="30" t="s">
        <v>124</v>
      </c>
      <c r="C14" s="30" t="s">
        <v>1</v>
      </c>
      <c r="D14" s="30" t="s">
        <v>125</v>
      </c>
      <c r="E14" s="30" t="s">
        <v>114</v>
      </c>
      <c r="F14" s="30" t="s">
        <v>126</v>
      </c>
      <c r="G14" s="30" t="s">
        <v>127</v>
      </c>
      <c r="H14" s="30">
        <v>-13.261065</v>
      </c>
      <c r="I14" s="30">
        <v>-49.807631999999998</v>
      </c>
      <c r="J14" s="30" t="s">
        <v>32</v>
      </c>
      <c r="K14" s="30">
        <v>2</v>
      </c>
      <c r="L14" s="30" t="s">
        <v>33</v>
      </c>
      <c r="M14" s="31" t="s">
        <v>17</v>
      </c>
      <c r="N14" s="31" t="s">
        <v>292</v>
      </c>
      <c r="O14" s="35" t="s">
        <v>296</v>
      </c>
      <c r="P14" s="35" t="s">
        <v>295</v>
      </c>
      <c r="Q14" s="35" t="s">
        <v>296</v>
      </c>
    </row>
    <row r="15" spans="1:17" ht="30.75" thickBot="1" x14ac:dyDescent="0.3">
      <c r="A15" s="32" t="s">
        <v>260</v>
      </c>
      <c r="B15" s="33" t="s">
        <v>128</v>
      </c>
      <c r="C15" s="33" t="s">
        <v>1</v>
      </c>
      <c r="D15" s="33" t="s">
        <v>125</v>
      </c>
      <c r="E15" s="33" t="s">
        <v>114</v>
      </c>
      <c r="F15" s="33" t="s">
        <v>129</v>
      </c>
      <c r="G15" s="33" t="s">
        <v>130</v>
      </c>
      <c r="H15" s="33">
        <v>-13.267295000000001</v>
      </c>
      <c r="I15" s="33">
        <v>-50.143650000000001</v>
      </c>
      <c r="J15" s="33" t="s">
        <v>16</v>
      </c>
      <c r="K15" s="33">
        <v>1</v>
      </c>
      <c r="L15" s="33" t="s">
        <v>7</v>
      </c>
      <c r="M15" s="34" t="s">
        <v>8</v>
      </c>
      <c r="N15" s="31" t="s">
        <v>292</v>
      </c>
      <c r="O15" s="35" t="s">
        <v>294</v>
      </c>
      <c r="P15" s="35" t="s">
        <v>294</v>
      </c>
      <c r="Q15" s="35" t="s">
        <v>294</v>
      </c>
    </row>
    <row r="16" spans="1:17" ht="30.75" thickBot="1" x14ac:dyDescent="0.3">
      <c r="A16" s="29" t="s">
        <v>260</v>
      </c>
      <c r="B16" s="30" t="s">
        <v>131</v>
      </c>
      <c r="C16" s="30" t="s">
        <v>1</v>
      </c>
      <c r="D16" s="30" t="s">
        <v>125</v>
      </c>
      <c r="E16" s="30" t="s">
        <v>114</v>
      </c>
      <c r="F16" s="30" t="s">
        <v>132</v>
      </c>
      <c r="G16" s="30" t="s">
        <v>130</v>
      </c>
      <c r="H16" s="30">
        <v>-13.267393</v>
      </c>
      <c r="I16" s="30">
        <v>-50.144174999999997</v>
      </c>
      <c r="J16" s="30" t="s">
        <v>20</v>
      </c>
      <c r="K16" s="30">
        <v>1</v>
      </c>
      <c r="L16" s="30" t="s">
        <v>12</v>
      </c>
      <c r="M16" s="31" t="s">
        <v>8</v>
      </c>
      <c r="N16" s="31" t="s">
        <v>292</v>
      </c>
      <c r="O16" s="35" t="s">
        <v>294</v>
      </c>
      <c r="P16" s="35" t="s">
        <v>294</v>
      </c>
      <c r="Q16" s="35" t="s">
        <v>294</v>
      </c>
    </row>
    <row r="17" spans="1:17" ht="45.75" thickBot="1" x14ac:dyDescent="0.3">
      <c r="A17" s="32" t="s">
        <v>260</v>
      </c>
      <c r="B17" s="33" t="s">
        <v>133</v>
      </c>
      <c r="C17" s="33" t="s">
        <v>51</v>
      </c>
      <c r="D17" s="33" t="s">
        <v>134</v>
      </c>
      <c r="E17" s="33" t="s">
        <v>135</v>
      </c>
      <c r="F17" s="33" t="s">
        <v>136</v>
      </c>
      <c r="G17" s="33" t="s">
        <v>137</v>
      </c>
      <c r="H17" s="33">
        <v>-14.752395999999999</v>
      </c>
      <c r="I17" s="33">
        <v>-50.556230999999997</v>
      </c>
      <c r="J17" s="33" t="s">
        <v>32</v>
      </c>
      <c r="K17" s="33">
        <v>2</v>
      </c>
      <c r="L17" s="33" t="s">
        <v>33</v>
      </c>
      <c r="M17" s="34" t="s">
        <v>17</v>
      </c>
      <c r="N17" s="31" t="s">
        <v>292</v>
      </c>
      <c r="O17" s="35" t="s">
        <v>294</v>
      </c>
      <c r="P17" s="35" t="s">
        <v>295</v>
      </c>
      <c r="Q17" s="35" t="s">
        <v>295</v>
      </c>
    </row>
    <row r="18" spans="1:17" ht="45.75" thickBot="1" x14ac:dyDescent="0.3">
      <c r="A18" s="29" t="s">
        <v>260</v>
      </c>
      <c r="B18" s="30" t="s">
        <v>138</v>
      </c>
      <c r="C18" s="30" t="s">
        <v>51</v>
      </c>
      <c r="D18" s="30" t="s">
        <v>139</v>
      </c>
      <c r="E18" s="30" t="s">
        <v>135</v>
      </c>
      <c r="F18" s="30" t="s">
        <v>140</v>
      </c>
      <c r="G18" s="30" t="s">
        <v>137</v>
      </c>
      <c r="H18" s="30">
        <v>-14.756099000000001</v>
      </c>
      <c r="I18" s="30">
        <v>-50.545704999999998</v>
      </c>
      <c r="J18" s="30" t="s">
        <v>6</v>
      </c>
      <c r="K18" s="30">
        <v>2</v>
      </c>
      <c r="L18" s="30" t="s">
        <v>7</v>
      </c>
      <c r="M18" s="31" t="s">
        <v>17</v>
      </c>
      <c r="N18" s="31" t="s">
        <v>292</v>
      </c>
      <c r="O18" s="35" t="s">
        <v>294</v>
      </c>
      <c r="P18" s="35" t="s">
        <v>295</v>
      </c>
      <c r="Q18" s="35" t="s">
        <v>295</v>
      </c>
    </row>
    <row r="19" spans="1:17" ht="45.75" thickBot="1" x14ac:dyDescent="0.3">
      <c r="A19" s="32" t="s">
        <v>260</v>
      </c>
      <c r="B19" s="33" t="s">
        <v>141</v>
      </c>
      <c r="C19" s="33" t="s">
        <v>51</v>
      </c>
      <c r="D19" s="33" t="s">
        <v>139</v>
      </c>
      <c r="E19" s="33" t="s">
        <v>135</v>
      </c>
      <c r="F19" s="33" t="s">
        <v>142</v>
      </c>
      <c r="G19" s="33" t="s">
        <v>137</v>
      </c>
      <c r="H19" s="33">
        <v>-14.756187000000001</v>
      </c>
      <c r="I19" s="33">
        <v>-50.544972999999999</v>
      </c>
      <c r="J19" s="33" t="s">
        <v>11</v>
      </c>
      <c r="K19" s="33">
        <v>2</v>
      </c>
      <c r="L19" s="33" t="s">
        <v>12</v>
      </c>
      <c r="M19" s="34" t="s">
        <v>17</v>
      </c>
      <c r="N19" s="31" t="s">
        <v>292</v>
      </c>
      <c r="O19" s="35" t="s">
        <v>294</v>
      </c>
      <c r="P19" s="35" t="s">
        <v>295</v>
      </c>
      <c r="Q19" s="35" t="s">
        <v>295</v>
      </c>
    </row>
    <row r="20" spans="1:17" ht="15.75" thickBot="1" x14ac:dyDescent="0.3">
      <c r="A20" s="29" t="s">
        <v>260</v>
      </c>
      <c r="B20" s="30" t="s">
        <v>143</v>
      </c>
      <c r="C20" s="30" t="s">
        <v>51</v>
      </c>
      <c r="D20" s="30" t="s">
        <v>144</v>
      </c>
      <c r="E20" s="30" t="s">
        <v>135</v>
      </c>
      <c r="F20" s="30" t="s">
        <v>145</v>
      </c>
      <c r="G20" s="30" t="s">
        <v>146</v>
      </c>
      <c r="H20" s="30">
        <v>-14.529365</v>
      </c>
      <c r="I20" s="30">
        <v>-49.947929000000002</v>
      </c>
      <c r="J20" s="30" t="s">
        <v>16</v>
      </c>
      <c r="K20" s="30">
        <v>1</v>
      </c>
      <c r="L20" s="30" t="s">
        <v>7</v>
      </c>
      <c r="M20" s="31" t="s">
        <v>17</v>
      </c>
      <c r="N20" s="31" t="s">
        <v>292</v>
      </c>
      <c r="O20" s="35" t="s">
        <v>296</v>
      </c>
      <c r="P20" s="35" t="s">
        <v>295</v>
      </c>
      <c r="Q20" s="35" t="s">
        <v>294</v>
      </c>
    </row>
    <row r="21" spans="1:17" ht="15.75" thickBot="1" x14ac:dyDescent="0.3">
      <c r="A21" s="32" t="s">
        <v>260</v>
      </c>
      <c r="B21" s="33" t="s">
        <v>147</v>
      </c>
      <c r="C21" s="33" t="s">
        <v>51</v>
      </c>
      <c r="D21" s="33" t="s">
        <v>144</v>
      </c>
      <c r="E21" s="33" t="s">
        <v>135</v>
      </c>
      <c r="F21" s="33" t="s">
        <v>148</v>
      </c>
      <c r="G21" s="30" t="s">
        <v>146</v>
      </c>
      <c r="H21" s="33">
        <v>-14.529325</v>
      </c>
      <c r="I21" s="33">
        <v>-49.947597999999999</v>
      </c>
      <c r="J21" s="33" t="s">
        <v>20</v>
      </c>
      <c r="K21" s="33">
        <v>1</v>
      </c>
      <c r="L21" s="33" t="s">
        <v>12</v>
      </c>
      <c r="M21" s="34" t="s">
        <v>17</v>
      </c>
      <c r="N21" s="31" t="s">
        <v>292</v>
      </c>
      <c r="O21" s="35" t="s">
        <v>296</v>
      </c>
      <c r="P21" s="35" t="s">
        <v>295</v>
      </c>
      <c r="Q21" s="35" t="s">
        <v>294</v>
      </c>
    </row>
    <row r="22" spans="1:17" ht="15.75" thickBot="1" x14ac:dyDescent="0.3">
      <c r="A22" s="29" t="s">
        <v>260</v>
      </c>
      <c r="B22" s="30" t="s">
        <v>149</v>
      </c>
      <c r="C22" s="30" t="s">
        <v>1</v>
      </c>
      <c r="D22" s="30" t="s">
        <v>150</v>
      </c>
      <c r="E22" s="30" t="s">
        <v>135</v>
      </c>
      <c r="F22" s="30" t="s">
        <v>151</v>
      </c>
      <c r="G22" s="30" t="s">
        <v>152</v>
      </c>
      <c r="H22" s="30">
        <v>-14.190367999999999</v>
      </c>
      <c r="I22" s="30">
        <v>-49.350214999999999</v>
      </c>
      <c r="J22" s="30" t="s">
        <v>20</v>
      </c>
      <c r="K22" s="30">
        <v>1</v>
      </c>
      <c r="L22" s="30" t="s">
        <v>12</v>
      </c>
      <c r="M22" s="31" t="s">
        <v>8</v>
      </c>
      <c r="N22" s="31" t="s">
        <v>291</v>
      </c>
      <c r="O22" s="35" t="s">
        <v>296</v>
      </c>
      <c r="P22" s="35" t="s">
        <v>295</v>
      </c>
      <c r="Q22" s="35" t="s">
        <v>296</v>
      </c>
    </row>
    <row r="23" spans="1:17" ht="60.75" thickBot="1" x14ac:dyDescent="0.3">
      <c r="A23" s="32" t="s">
        <v>260</v>
      </c>
      <c r="B23" s="33" t="s">
        <v>153</v>
      </c>
      <c r="C23" s="33" t="s">
        <v>51</v>
      </c>
      <c r="D23" s="33" t="s">
        <v>154</v>
      </c>
      <c r="E23" s="33" t="s">
        <v>155</v>
      </c>
      <c r="F23" s="33" t="s">
        <v>156</v>
      </c>
      <c r="G23" s="33" t="s">
        <v>157</v>
      </c>
      <c r="H23" s="33">
        <v>-15.743752000000001</v>
      </c>
      <c r="I23" s="33">
        <v>-49.366813999999998</v>
      </c>
      <c r="J23" s="33" t="s">
        <v>32</v>
      </c>
      <c r="K23" s="33">
        <v>2</v>
      </c>
      <c r="L23" s="33" t="s">
        <v>33</v>
      </c>
      <c r="M23" s="34" t="s">
        <v>158</v>
      </c>
      <c r="N23" s="31" t="s">
        <v>291</v>
      </c>
      <c r="O23" s="35" t="s">
        <v>296</v>
      </c>
      <c r="P23" s="35" t="s">
        <v>300</v>
      </c>
      <c r="Q23" s="35" t="s">
        <v>294</v>
      </c>
    </row>
    <row r="24" spans="1:17" ht="60.75" thickBot="1" x14ac:dyDescent="0.3">
      <c r="A24" s="29" t="s">
        <v>260</v>
      </c>
      <c r="B24" s="30" t="s">
        <v>159</v>
      </c>
      <c r="C24" s="30" t="s">
        <v>1</v>
      </c>
      <c r="D24" s="30" t="s">
        <v>160</v>
      </c>
      <c r="E24" s="30" t="s">
        <v>155</v>
      </c>
      <c r="F24" s="30" t="s">
        <v>161</v>
      </c>
      <c r="G24" s="30" t="s">
        <v>157</v>
      </c>
      <c r="H24" s="30">
        <v>-15.761240000000001</v>
      </c>
      <c r="I24" s="30">
        <v>-49.339889999999997</v>
      </c>
      <c r="J24" s="30" t="s">
        <v>16</v>
      </c>
      <c r="K24" s="30">
        <v>1</v>
      </c>
      <c r="L24" s="30" t="s">
        <v>7</v>
      </c>
      <c r="M24" s="31" t="s">
        <v>8</v>
      </c>
      <c r="N24" s="31" t="s">
        <v>291</v>
      </c>
      <c r="O24" s="35" t="s">
        <v>296</v>
      </c>
      <c r="P24" s="35" t="s">
        <v>300</v>
      </c>
      <c r="Q24" s="35" t="s">
        <v>294</v>
      </c>
    </row>
    <row r="25" spans="1:17" ht="60.75" thickBot="1" x14ac:dyDescent="0.3">
      <c r="A25" s="32" t="s">
        <v>260</v>
      </c>
      <c r="B25" s="33" t="s">
        <v>162</v>
      </c>
      <c r="C25" s="33" t="s">
        <v>1</v>
      </c>
      <c r="D25" s="33" t="s">
        <v>160</v>
      </c>
      <c r="E25" s="33" t="s">
        <v>155</v>
      </c>
      <c r="F25" s="33" t="s">
        <v>163</v>
      </c>
      <c r="G25" s="33" t="s">
        <v>157</v>
      </c>
      <c r="H25" s="33">
        <v>-15.761200000000001</v>
      </c>
      <c r="I25" s="33">
        <v>-49.339722000000002</v>
      </c>
      <c r="J25" s="33" t="s">
        <v>20</v>
      </c>
      <c r="K25" s="33">
        <v>1</v>
      </c>
      <c r="L25" s="33" t="s">
        <v>12</v>
      </c>
      <c r="M25" s="34" t="s">
        <v>8</v>
      </c>
      <c r="N25" s="31" t="s">
        <v>291</v>
      </c>
      <c r="O25" s="35" t="s">
        <v>296</v>
      </c>
      <c r="P25" s="35" t="s">
        <v>300</v>
      </c>
      <c r="Q25" s="35" t="s">
        <v>294</v>
      </c>
    </row>
    <row r="26" spans="1:17" ht="60.75" thickBot="1" x14ac:dyDescent="0.3">
      <c r="A26" s="29" t="s">
        <v>260</v>
      </c>
      <c r="B26" s="30" t="s">
        <v>164</v>
      </c>
      <c r="C26" s="30" t="s">
        <v>1</v>
      </c>
      <c r="D26" s="30" t="s">
        <v>160</v>
      </c>
      <c r="E26" s="30" t="s">
        <v>155</v>
      </c>
      <c r="F26" s="30" t="s">
        <v>165</v>
      </c>
      <c r="G26" s="30" t="s">
        <v>157</v>
      </c>
      <c r="H26" s="30">
        <v>-15.761049999999999</v>
      </c>
      <c r="I26" s="30">
        <v>-49.335949999999997</v>
      </c>
      <c r="J26" s="30" t="s">
        <v>16</v>
      </c>
      <c r="K26" s="30">
        <v>1</v>
      </c>
      <c r="L26" s="30" t="s">
        <v>7</v>
      </c>
      <c r="M26" s="31" t="s">
        <v>8</v>
      </c>
      <c r="N26" s="31" t="s">
        <v>291</v>
      </c>
      <c r="O26" s="35" t="s">
        <v>296</v>
      </c>
      <c r="P26" s="35" t="s">
        <v>300</v>
      </c>
      <c r="Q26" s="35" t="s">
        <v>294</v>
      </c>
    </row>
    <row r="27" spans="1:17" ht="60.75" thickBot="1" x14ac:dyDescent="0.3">
      <c r="A27" s="32" t="s">
        <v>260</v>
      </c>
      <c r="B27" s="33" t="s">
        <v>166</v>
      </c>
      <c r="C27" s="33" t="s">
        <v>1</v>
      </c>
      <c r="D27" s="33" t="s">
        <v>160</v>
      </c>
      <c r="E27" s="33" t="s">
        <v>155</v>
      </c>
      <c r="F27" s="33" t="s">
        <v>167</v>
      </c>
      <c r="G27" s="33" t="s">
        <v>157</v>
      </c>
      <c r="H27" s="33">
        <v>-15.761146</v>
      </c>
      <c r="I27" s="33">
        <v>-49.335568000000002</v>
      </c>
      <c r="J27" s="33" t="s">
        <v>20</v>
      </c>
      <c r="K27" s="33">
        <v>1</v>
      </c>
      <c r="L27" s="33" t="s">
        <v>12</v>
      </c>
      <c r="M27" s="34" t="s">
        <v>8</v>
      </c>
      <c r="N27" s="31" t="s">
        <v>291</v>
      </c>
      <c r="O27" s="35" t="s">
        <v>296</v>
      </c>
      <c r="P27" s="35" t="s">
        <v>300</v>
      </c>
      <c r="Q27" s="35" t="s">
        <v>294</v>
      </c>
    </row>
    <row r="28" spans="1:17" ht="15.75" thickBot="1" x14ac:dyDescent="0.3">
      <c r="A28" s="29" t="s">
        <v>260</v>
      </c>
      <c r="B28" s="30" t="s">
        <v>271</v>
      </c>
      <c r="C28" s="30" t="s">
        <v>51</v>
      </c>
      <c r="D28" s="30" t="s">
        <v>168</v>
      </c>
      <c r="E28" s="30" t="s">
        <v>169</v>
      </c>
      <c r="F28" s="30" t="s">
        <v>170</v>
      </c>
      <c r="G28" s="30" t="s">
        <v>171</v>
      </c>
      <c r="H28" s="30">
        <v>-15.966638</v>
      </c>
      <c r="I28" s="30">
        <v>-50.113753000000003</v>
      </c>
      <c r="J28" s="30" t="s">
        <v>11</v>
      </c>
      <c r="K28" s="30">
        <v>2</v>
      </c>
      <c r="L28" s="30" t="s">
        <v>12</v>
      </c>
      <c r="M28" s="31" t="s">
        <v>158</v>
      </c>
      <c r="N28" s="31" t="s">
        <v>293</v>
      </c>
      <c r="O28" s="35" t="s">
        <v>295</v>
      </c>
      <c r="P28" s="35" t="s">
        <v>295</v>
      </c>
      <c r="Q28" s="35" t="s">
        <v>294</v>
      </c>
    </row>
    <row r="29" spans="1:17" ht="30.75" thickBot="1" x14ac:dyDescent="0.3">
      <c r="A29" s="32" t="s">
        <v>260</v>
      </c>
      <c r="B29" s="33" t="s">
        <v>272</v>
      </c>
      <c r="C29" s="33" t="s">
        <v>51</v>
      </c>
      <c r="D29" s="33" t="s">
        <v>172</v>
      </c>
      <c r="E29" s="33" t="s">
        <v>173</v>
      </c>
      <c r="F29" s="33" t="s">
        <v>174</v>
      </c>
      <c r="G29" s="30" t="s">
        <v>146</v>
      </c>
      <c r="H29" s="33">
        <v>-14.546315999999999</v>
      </c>
      <c r="I29" s="33">
        <v>-49.984830000000002</v>
      </c>
      <c r="J29" s="33" t="s">
        <v>20</v>
      </c>
      <c r="K29" s="33">
        <v>1</v>
      </c>
      <c r="L29" s="33" t="s">
        <v>12</v>
      </c>
      <c r="M29" s="34" t="s">
        <v>158</v>
      </c>
      <c r="N29" s="31" t="s">
        <v>292</v>
      </c>
      <c r="O29" s="35" t="s">
        <v>294</v>
      </c>
      <c r="P29" s="35" t="s">
        <v>301</v>
      </c>
      <c r="Q29" s="35" t="s">
        <v>294</v>
      </c>
    </row>
    <row r="30" spans="1:17" ht="15.75" thickBot="1" x14ac:dyDescent="0.3">
      <c r="A30" s="29" t="s">
        <v>260</v>
      </c>
      <c r="B30" s="30" t="s">
        <v>273</v>
      </c>
      <c r="C30" s="30" t="s">
        <v>1</v>
      </c>
      <c r="D30" s="30" t="s">
        <v>175</v>
      </c>
      <c r="E30" s="30" t="s">
        <v>173</v>
      </c>
      <c r="F30" s="30" t="s">
        <v>176</v>
      </c>
      <c r="G30" s="30" t="s">
        <v>99</v>
      </c>
      <c r="H30" s="30">
        <v>-14.96654</v>
      </c>
      <c r="I30" s="30">
        <v>-49.546849999999999</v>
      </c>
      <c r="J30" s="30" t="s">
        <v>6</v>
      </c>
      <c r="K30" s="30">
        <v>2</v>
      </c>
      <c r="L30" s="30" t="s">
        <v>7</v>
      </c>
      <c r="M30" s="31" t="s">
        <v>8</v>
      </c>
      <c r="N30" s="31" t="s">
        <v>291</v>
      </c>
      <c r="O30" s="35" t="s">
        <v>296</v>
      </c>
      <c r="P30" s="35" t="s">
        <v>294</v>
      </c>
      <c r="Q30" s="35" t="s">
        <v>294</v>
      </c>
    </row>
    <row r="31" spans="1:17" ht="15.75" thickBot="1" x14ac:dyDescent="0.3">
      <c r="A31" s="32" t="s">
        <v>260</v>
      </c>
      <c r="B31" s="33" t="s">
        <v>273</v>
      </c>
      <c r="C31" s="33" t="s">
        <v>1</v>
      </c>
      <c r="D31" s="33" t="s">
        <v>175</v>
      </c>
      <c r="E31" s="33" t="s">
        <v>173</v>
      </c>
      <c r="F31" s="33" t="s">
        <v>177</v>
      </c>
      <c r="G31" s="33" t="s">
        <v>99</v>
      </c>
      <c r="H31" s="33">
        <v>-14.965138</v>
      </c>
      <c r="I31" s="33">
        <v>-49.547117</v>
      </c>
      <c r="J31" s="33" t="s">
        <v>11</v>
      </c>
      <c r="K31" s="33">
        <v>2</v>
      </c>
      <c r="L31" s="33" t="s">
        <v>12</v>
      </c>
      <c r="M31" s="34" t="s">
        <v>8</v>
      </c>
      <c r="N31" s="31" t="s">
        <v>291</v>
      </c>
      <c r="O31" s="35" t="s">
        <v>296</v>
      </c>
      <c r="P31" s="35" t="s">
        <v>294</v>
      </c>
      <c r="Q31" s="35" t="s">
        <v>294</v>
      </c>
    </row>
    <row r="32" spans="1:17" ht="45.75" thickBot="1" x14ac:dyDescent="0.3">
      <c r="A32" s="29" t="s">
        <v>260</v>
      </c>
      <c r="B32" s="30" t="s">
        <v>274</v>
      </c>
      <c r="C32" s="30" t="s">
        <v>1</v>
      </c>
      <c r="D32" s="30" t="s">
        <v>178</v>
      </c>
      <c r="E32" s="30" t="s">
        <v>36</v>
      </c>
      <c r="F32" s="30" t="s">
        <v>179</v>
      </c>
      <c r="G32" s="30" t="s">
        <v>130</v>
      </c>
      <c r="H32" s="36">
        <v>-13085204</v>
      </c>
      <c r="I32" s="36">
        <v>-49979043</v>
      </c>
      <c r="J32" s="30" t="s">
        <v>32</v>
      </c>
      <c r="K32" s="30">
        <v>2</v>
      </c>
      <c r="L32" s="30" t="s">
        <v>33</v>
      </c>
      <c r="M32" s="31" t="s">
        <v>8</v>
      </c>
      <c r="N32" s="31" t="s">
        <v>292</v>
      </c>
      <c r="O32" s="35" t="s">
        <v>295</v>
      </c>
      <c r="P32" s="35" t="s">
        <v>295</v>
      </c>
      <c r="Q32" s="35" t="s">
        <v>295</v>
      </c>
    </row>
    <row r="33" spans="1:17" ht="45.75" thickBot="1" x14ac:dyDescent="0.3">
      <c r="A33" s="32" t="s">
        <v>260</v>
      </c>
      <c r="B33" s="33" t="s">
        <v>302</v>
      </c>
      <c r="C33" s="33" t="s">
        <v>1</v>
      </c>
      <c r="D33" s="33" t="s">
        <v>178</v>
      </c>
      <c r="E33" s="33" t="s">
        <v>36</v>
      </c>
      <c r="F33" s="33" t="s">
        <v>180</v>
      </c>
      <c r="G33" s="33" t="s">
        <v>130</v>
      </c>
      <c r="H33" s="33">
        <v>-13.075587000000001</v>
      </c>
      <c r="I33" s="33">
        <v>-49.972703000000003</v>
      </c>
      <c r="J33" s="33" t="s">
        <v>32</v>
      </c>
      <c r="K33" s="33">
        <v>2</v>
      </c>
      <c r="L33" s="33" t="s">
        <v>33</v>
      </c>
      <c r="M33" s="34" t="s">
        <v>8</v>
      </c>
      <c r="N33" s="31" t="s">
        <v>292</v>
      </c>
      <c r="O33" s="35" t="s">
        <v>295</v>
      </c>
      <c r="P33" s="35" t="s">
        <v>295</v>
      </c>
      <c r="Q33" s="35" t="s">
        <v>295</v>
      </c>
    </row>
    <row r="34" spans="1:17" ht="45.75" thickBot="1" x14ac:dyDescent="0.3">
      <c r="A34" s="29" t="s">
        <v>260</v>
      </c>
      <c r="B34" s="30" t="s">
        <v>275</v>
      </c>
      <c r="C34" s="30" t="s">
        <v>1</v>
      </c>
      <c r="D34" s="30" t="s">
        <v>181</v>
      </c>
      <c r="E34" s="30" t="s">
        <v>182</v>
      </c>
      <c r="F34" s="30" t="s">
        <v>183</v>
      </c>
      <c r="G34" s="30" t="s">
        <v>184</v>
      </c>
      <c r="H34" s="30">
        <v>-15775700</v>
      </c>
      <c r="I34" s="30">
        <v>-51093023</v>
      </c>
      <c r="J34" s="30" t="s">
        <v>32</v>
      </c>
      <c r="K34" s="30">
        <v>2</v>
      </c>
      <c r="L34" s="30" t="s">
        <v>33</v>
      </c>
      <c r="M34" s="31" t="s">
        <v>8</v>
      </c>
      <c r="N34" s="31" t="s">
        <v>293</v>
      </c>
      <c r="O34" s="35" t="s">
        <v>296</v>
      </c>
      <c r="P34" s="35" t="s">
        <v>294</v>
      </c>
      <c r="Q34" s="35" t="s">
        <v>295</v>
      </c>
    </row>
    <row r="35" spans="1:17" ht="45.75" thickBot="1" x14ac:dyDescent="0.3">
      <c r="A35" s="32" t="s">
        <v>260</v>
      </c>
      <c r="B35" s="33" t="s">
        <v>275</v>
      </c>
      <c r="C35" s="33" t="s">
        <v>1</v>
      </c>
      <c r="D35" s="33" t="s">
        <v>185</v>
      </c>
      <c r="E35" s="33" t="s">
        <v>182</v>
      </c>
      <c r="F35" s="33" t="s">
        <v>186</v>
      </c>
      <c r="G35" s="33" t="s">
        <v>184</v>
      </c>
      <c r="H35" s="33">
        <v>-1577074</v>
      </c>
      <c r="I35" s="33">
        <v>-5109519</v>
      </c>
      <c r="J35" s="33" t="s">
        <v>32</v>
      </c>
      <c r="K35" s="33">
        <v>2</v>
      </c>
      <c r="L35" s="33" t="s">
        <v>33</v>
      </c>
      <c r="M35" s="34" t="s">
        <v>8</v>
      </c>
      <c r="N35" s="31" t="s">
        <v>293</v>
      </c>
      <c r="O35" s="35" t="s">
        <v>296</v>
      </c>
      <c r="P35" s="35" t="s">
        <v>294</v>
      </c>
      <c r="Q35" s="35" t="s">
        <v>295</v>
      </c>
    </row>
    <row r="36" spans="1:17" ht="45.75" thickBot="1" x14ac:dyDescent="0.3">
      <c r="A36" s="29" t="s">
        <v>260</v>
      </c>
      <c r="B36" s="30" t="s">
        <v>275</v>
      </c>
      <c r="C36" s="30" t="s">
        <v>51</v>
      </c>
      <c r="D36" s="30" t="s">
        <v>187</v>
      </c>
      <c r="E36" s="30" t="s">
        <v>182</v>
      </c>
      <c r="F36" s="30" t="s">
        <v>188</v>
      </c>
      <c r="G36" s="30" t="s">
        <v>184</v>
      </c>
      <c r="H36" s="30">
        <v>-1576442</v>
      </c>
      <c r="I36" s="30">
        <v>-51097877</v>
      </c>
      <c r="J36" s="30" t="s">
        <v>32</v>
      </c>
      <c r="K36" s="30">
        <v>2</v>
      </c>
      <c r="L36" s="30" t="s">
        <v>33</v>
      </c>
      <c r="M36" s="31" t="s">
        <v>158</v>
      </c>
      <c r="N36" s="31" t="s">
        <v>293</v>
      </c>
      <c r="O36" s="35" t="s">
        <v>296</v>
      </c>
      <c r="P36" s="35" t="s">
        <v>294</v>
      </c>
      <c r="Q36" s="35" t="s">
        <v>295</v>
      </c>
    </row>
    <row r="37" spans="1:17" ht="30.75" thickBot="1" x14ac:dyDescent="0.3">
      <c r="A37" s="29" t="s">
        <v>259</v>
      </c>
      <c r="B37" s="30" t="s">
        <v>197</v>
      </c>
      <c r="C37" s="30" t="s">
        <v>1</v>
      </c>
      <c r="D37" s="30" t="s">
        <v>198</v>
      </c>
      <c r="E37" s="30" t="s">
        <v>199</v>
      </c>
      <c r="F37" s="30" t="s">
        <v>200</v>
      </c>
      <c r="G37" s="30" t="s">
        <v>196</v>
      </c>
      <c r="H37" s="30">
        <v>-18.393274000000002</v>
      </c>
      <c r="I37" s="30">
        <v>-52.666094999999999</v>
      </c>
      <c r="J37" s="30" t="s">
        <v>20</v>
      </c>
      <c r="K37" s="30">
        <v>1</v>
      </c>
      <c r="L37" s="30" t="s">
        <v>12</v>
      </c>
      <c r="M37" s="31" t="s">
        <v>8</v>
      </c>
      <c r="N37" s="31" t="s">
        <v>303</v>
      </c>
      <c r="O37" s="35" t="s">
        <v>295</v>
      </c>
      <c r="P37" s="35" t="s">
        <v>304</v>
      </c>
      <c r="Q37" s="35" t="s">
        <v>294</v>
      </c>
    </row>
    <row r="38" spans="1:17" ht="45.75" thickBot="1" x14ac:dyDescent="0.3">
      <c r="A38" s="32" t="s">
        <v>259</v>
      </c>
      <c r="B38" s="33" t="s">
        <v>201</v>
      </c>
      <c r="C38" s="33" t="s">
        <v>1</v>
      </c>
      <c r="D38" s="33" t="s">
        <v>193</v>
      </c>
      <c r="E38" s="33" t="s">
        <v>191</v>
      </c>
      <c r="F38" s="33" t="s">
        <v>202</v>
      </c>
      <c r="G38" s="33" t="s">
        <v>203</v>
      </c>
      <c r="H38" s="33">
        <v>-16.301870000000001</v>
      </c>
      <c r="I38" s="33">
        <v>-51.464159000000002</v>
      </c>
      <c r="J38" s="33" t="s">
        <v>32</v>
      </c>
      <c r="K38" s="33">
        <v>2</v>
      </c>
      <c r="L38" s="33" t="s">
        <v>33</v>
      </c>
      <c r="M38" s="34" t="s">
        <v>17</v>
      </c>
      <c r="N38" s="31" t="s">
        <v>293</v>
      </c>
      <c r="O38" s="35" t="s">
        <v>296</v>
      </c>
      <c r="P38" s="35" t="s">
        <v>295</v>
      </c>
      <c r="Q38" s="35" t="s">
        <v>295</v>
      </c>
    </row>
    <row r="39" spans="1:17" ht="45.75" thickBot="1" x14ac:dyDescent="0.3">
      <c r="A39" s="29" t="s">
        <v>259</v>
      </c>
      <c r="B39" s="30" t="s">
        <v>204</v>
      </c>
      <c r="C39" s="30" t="s">
        <v>1</v>
      </c>
      <c r="D39" s="30" t="s">
        <v>205</v>
      </c>
      <c r="E39" s="30" t="s">
        <v>191</v>
      </c>
      <c r="F39" s="30" t="s">
        <v>206</v>
      </c>
      <c r="G39" s="30" t="s">
        <v>207</v>
      </c>
      <c r="H39" s="30">
        <v>-16.308102000000002</v>
      </c>
      <c r="I39" s="30">
        <v>-51.476498999999997</v>
      </c>
      <c r="J39" s="30" t="s">
        <v>32</v>
      </c>
      <c r="K39" s="30">
        <v>2</v>
      </c>
      <c r="L39" s="30" t="s">
        <v>33</v>
      </c>
      <c r="M39" s="31" t="s">
        <v>17</v>
      </c>
      <c r="N39" s="31" t="s">
        <v>293</v>
      </c>
      <c r="O39" s="35" t="s">
        <v>295</v>
      </c>
      <c r="P39" s="35" t="s">
        <v>295</v>
      </c>
      <c r="Q39" s="35" t="s">
        <v>295</v>
      </c>
    </row>
    <row r="40" spans="1:17" ht="45.75" thickBot="1" x14ac:dyDescent="0.3">
      <c r="A40" s="32" t="s">
        <v>259</v>
      </c>
      <c r="B40" s="33" t="s">
        <v>208</v>
      </c>
      <c r="C40" s="33" t="s">
        <v>1</v>
      </c>
      <c r="D40" s="33" t="s">
        <v>209</v>
      </c>
      <c r="E40" s="33" t="s">
        <v>36</v>
      </c>
      <c r="F40" s="33" t="s">
        <v>210</v>
      </c>
      <c r="G40" s="33" t="s">
        <v>211</v>
      </c>
      <c r="H40" s="33">
        <v>-19.010909999999999</v>
      </c>
      <c r="I40" s="33">
        <v>-50.672190000000001</v>
      </c>
      <c r="J40" s="33" t="s">
        <v>20</v>
      </c>
      <c r="K40" s="33">
        <v>1</v>
      </c>
      <c r="L40" s="33" t="s">
        <v>12</v>
      </c>
      <c r="M40" s="34" t="s">
        <v>8</v>
      </c>
      <c r="N40" s="31" t="s">
        <v>303</v>
      </c>
      <c r="O40" s="35" t="s">
        <v>295</v>
      </c>
      <c r="P40" s="35" t="s">
        <v>295</v>
      </c>
      <c r="Q40" s="35" t="s">
        <v>295</v>
      </c>
    </row>
    <row r="41" spans="1:17" ht="30.75" thickBot="1" x14ac:dyDescent="0.3">
      <c r="A41" s="29" t="s">
        <v>259</v>
      </c>
      <c r="B41" s="30" t="s">
        <v>212</v>
      </c>
      <c r="C41" s="30" t="s">
        <v>1</v>
      </c>
      <c r="D41" s="30" t="s">
        <v>213</v>
      </c>
      <c r="E41" s="30" t="s">
        <v>194</v>
      </c>
      <c r="F41" s="30" t="s">
        <v>214</v>
      </c>
      <c r="G41" s="30" t="s">
        <v>195</v>
      </c>
      <c r="H41" s="30">
        <v>-17.878209999999999</v>
      </c>
      <c r="I41" s="30">
        <v>-50.96452</v>
      </c>
      <c r="J41" s="30" t="s">
        <v>32</v>
      </c>
      <c r="K41" s="30">
        <v>2</v>
      </c>
      <c r="L41" s="30" t="s">
        <v>33</v>
      </c>
      <c r="M41" s="31" t="s">
        <v>8</v>
      </c>
      <c r="N41" s="31" t="s">
        <v>303</v>
      </c>
      <c r="O41" s="35" t="s">
        <v>295</v>
      </c>
      <c r="P41" s="35" t="s">
        <v>295</v>
      </c>
      <c r="Q41" s="35" t="s">
        <v>294</v>
      </c>
    </row>
    <row r="42" spans="1:17" ht="15.75" thickBot="1" x14ac:dyDescent="0.3">
      <c r="A42" s="32" t="s">
        <v>259</v>
      </c>
      <c r="B42" s="33" t="s">
        <v>215</v>
      </c>
      <c r="C42" s="33" t="s">
        <v>1</v>
      </c>
      <c r="D42" s="33" t="s">
        <v>216</v>
      </c>
      <c r="E42" s="33" t="s">
        <v>194</v>
      </c>
      <c r="F42" s="33" t="s">
        <v>217</v>
      </c>
      <c r="G42" s="33" t="s">
        <v>218</v>
      </c>
      <c r="H42" s="33">
        <v>-17.446985000000002</v>
      </c>
      <c r="I42" s="33">
        <v>-51.169713999999999</v>
      </c>
      <c r="J42" s="33" t="s">
        <v>16</v>
      </c>
      <c r="K42" s="33">
        <v>1</v>
      </c>
      <c r="L42" s="33" t="s">
        <v>7</v>
      </c>
      <c r="M42" s="34" t="s">
        <v>8</v>
      </c>
      <c r="N42" s="31" t="s">
        <v>303</v>
      </c>
      <c r="O42" s="35" t="s">
        <v>294</v>
      </c>
      <c r="P42" s="35" t="s">
        <v>294</v>
      </c>
      <c r="Q42" s="35" t="s">
        <v>294</v>
      </c>
    </row>
    <row r="43" spans="1:17" ht="15.75" thickBot="1" x14ac:dyDescent="0.3">
      <c r="A43" s="29" t="s">
        <v>259</v>
      </c>
      <c r="B43" s="30" t="s">
        <v>219</v>
      </c>
      <c r="C43" s="30" t="s">
        <v>1</v>
      </c>
      <c r="D43" s="30" t="s">
        <v>216</v>
      </c>
      <c r="E43" s="30" t="s">
        <v>194</v>
      </c>
      <c r="F43" s="30" t="s">
        <v>220</v>
      </c>
      <c r="G43" s="30" t="s">
        <v>218</v>
      </c>
      <c r="H43" s="30">
        <v>-17.444789</v>
      </c>
      <c r="I43" s="30">
        <v>-51.170997</v>
      </c>
      <c r="J43" s="30" t="s">
        <v>20</v>
      </c>
      <c r="K43" s="30">
        <v>1</v>
      </c>
      <c r="L43" s="30" t="s">
        <v>12</v>
      </c>
      <c r="M43" s="31" t="s">
        <v>8</v>
      </c>
      <c r="N43" s="31" t="s">
        <v>303</v>
      </c>
      <c r="O43" s="35" t="s">
        <v>294</v>
      </c>
      <c r="P43" s="35" t="s">
        <v>294</v>
      </c>
      <c r="Q43" s="35" t="s">
        <v>294</v>
      </c>
    </row>
    <row r="44" spans="1:17" ht="30.75" thickBot="1" x14ac:dyDescent="0.3">
      <c r="A44" s="32" t="s">
        <v>259</v>
      </c>
      <c r="B44" s="33" t="s">
        <v>221</v>
      </c>
      <c r="C44" s="33" t="s">
        <v>1</v>
      </c>
      <c r="D44" s="33" t="s">
        <v>222</v>
      </c>
      <c r="E44" s="33" t="s">
        <v>223</v>
      </c>
      <c r="F44" s="33" t="s">
        <v>224</v>
      </c>
      <c r="G44" s="33" t="s">
        <v>225</v>
      </c>
      <c r="H44" s="33">
        <v>-17.531146</v>
      </c>
      <c r="I44" s="33">
        <v>-52.061875000000001</v>
      </c>
      <c r="J44" s="33" t="s">
        <v>32</v>
      </c>
      <c r="K44" s="33">
        <v>2</v>
      </c>
      <c r="L44" s="33" t="s">
        <v>33</v>
      </c>
      <c r="M44" s="34" t="s">
        <v>8</v>
      </c>
      <c r="N44" s="31" t="s">
        <v>303</v>
      </c>
      <c r="O44" s="35" t="s">
        <v>296</v>
      </c>
      <c r="P44" s="35" t="s">
        <v>296</v>
      </c>
      <c r="Q44" s="35" t="s">
        <v>296</v>
      </c>
    </row>
    <row r="45" spans="1:17" ht="30.75" thickBot="1" x14ac:dyDescent="0.3">
      <c r="A45" s="29" t="s">
        <v>259</v>
      </c>
      <c r="B45" s="30" t="s">
        <v>226</v>
      </c>
      <c r="C45" s="30" t="s">
        <v>1</v>
      </c>
      <c r="D45" s="30" t="s">
        <v>227</v>
      </c>
      <c r="E45" s="30" t="s">
        <v>228</v>
      </c>
      <c r="F45" s="30" t="s">
        <v>229</v>
      </c>
      <c r="G45" s="30" t="s">
        <v>192</v>
      </c>
      <c r="H45" s="30">
        <v>-16.4983</v>
      </c>
      <c r="I45" s="30">
        <v>-51.183655000000002</v>
      </c>
      <c r="J45" s="30" t="s">
        <v>32</v>
      </c>
      <c r="K45" s="30">
        <v>2</v>
      </c>
      <c r="L45" s="30" t="s">
        <v>33</v>
      </c>
      <c r="M45" s="31" t="s">
        <v>17</v>
      </c>
      <c r="N45" s="31" t="s">
        <v>293</v>
      </c>
      <c r="O45" s="35" t="s">
        <v>295</v>
      </c>
      <c r="P45" s="35" t="s">
        <v>295</v>
      </c>
      <c r="Q45" s="35" t="s">
        <v>294</v>
      </c>
    </row>
    <row r="46" spans="1:17" ht="45.75" thickBot="1" x14ac:dyDescent="0.3">
      <c r="A46" s="32" t="s">
        <v>259</v>
      </c>
      <c r="B46" s="33" t="s">
        <v>230</v>
      </c>
      <c r="C46" s="33" t="s">
        <v>1</v>
      </c>
      <c r="D46" s="33" t="s">
        <v>231</v>
      </c>
      <c r="E46" s="33" t="s">
        <v>228</v>
      </c>
      <c r="F46" s="33" t="s">
        <v>232</v>
      </c>
      <c r="G46" s="33" t="s">
        <v>233</v>
      </c>
      <c r="H46" s="33">
        <v>-16.935421000000002</v>
      </c>
      <c r="I46" s="33">
        <v>-51.785350999999999</v>
      </c>
      <c r="J46" s="33" t="s">
        <v>32</v>
      </c>
      <c r="K46" s="33">
        <v>2</v>
      </c>
      <c r="L46" s="33" t="s">
        <v>33</v>
      </c>
      <c r="M46" s="34" t="s">
        <v>8</v>
      </c>
      <c r="N46" s="31" t="s">
        <v>303</v>
      </c>
      <c r="O46" s="35" t="s">
        <v>296</v>
      </c>
      <c r="P46" s="35" t="s">
        <v>295</v>
      </c>
      <c r="Q46" s="35" t="s">
        <v>295</v>
      </c>
    </row>
    <row r="47" spans="1:17" ht="30.75" thickBot="1" x14ac:dyDescent="0.3">
      <c r="A47" s="29" t="s">
        <v>259</v>
      </c>
      <c r="B47" s="30" t="s">
        <v>234</v>
      </c>
      <c r="C47" s="30" t="s">
        <v>1</v>
      </c>
      <c r="D47" s="30" t="s">
        <v>235</v>
      </c>
      <c r="E47" s="30" t="s">
        <v>236</v>
      </c>
      <c r="F47" s="30" t="s">
        <v>237</v>
      </c>
      <c r="G47" s="30" t="s">
        <v>238</v>
      </c>
      <c r="H47" s="30">
        <v>-19.070689000000002</v>
      </c>
      <c r="I47" s="30">
        <v>-51.534475999999998</v>
      </c>
      <c r="J47" s="30" t="s">
        <v>32</v>
      </c>
      <c r="K47" s="30">
        <v>2</v>
      </c>
      <c r="L47" s="30" t="s">
        <v>33</v>
      </c>
      <c r="M47" s="31" t="s">
        <v>8</v>
      </c>
      <c r="N47" s="31" t="s">
        <v>303</v>
      </c>
      <c r="O47" s="35" t="s">
        <v>296</v>
      </c>
      <c r="P47" s="35" t="s">
        <v>305</v>
      </c>
      <c r="Q47" s="35" t="s">
        <v>294</v>
      </c>
    </row>
    <row r="48" spans="1:17" ht="15.75" thickBot="1" x14ac:dyDescent="0.3">
      <c r="A48" s="32" t="s">
        <v>259</v>
      </c>
      <c r="B48" s="33" t="s">
        <v>239</v>
      </c>
      <c r="C48" s="33" t="s">
        <v>1</v>
      </c>
      <c r="D48" s="33" t="s">
        <v>240</v>
      </c>
      <c r="E48" s="33" t="s">
        <v>241</v>
      </c>
      <c r="F48" s="33" t="s">
        <v>242</v>
      </c>
      <c r="G48" s="33" t="s">
        <v>243</v>
      </c>
      <c r="H48" s="33">
        <v>-17.586549000000002</v>
      </c>
      <c r="I48" s="33">
        <v>-52.554932000000001</v>
      </c>
      <c r="J48" s="33" t="s">
        <v>16</v>
      </c>
      <c r="K48" s="33">
        <v>1</v>
      </c>
      <c r="L48" s="33" t="s">
        <v>7</v>
      </c>
      <c r="M48" s="34" t="s">
        <v>8</v>
      </c>
      <c r="N48" s="31" t="s">
        <v>303</v>
      </c>
      <c r="O48" s="35" t="s">
        <v>296</v>
      </c>
      <c r="P48" s="35" t="s">
        <v>294</v>
      </c>
      <c r="Q48" s="35" t="s">
        <v>294</v>
      </c>
    </row>
    <row r="49" spans="1:17" ht="15.75" thickBot="1" x14ac:dyDescent="0.3">
      <c r="A49" s="29" t="s">
        <v>259</v>
      </c>
      <c r="B49" s="30" t="s">
        <v>244</v>
      </c>
      <c r="C49" s="30" t="s">
        <v>1</v>
      </c>
      <c r="D49" s="30" t="s">
        <v>240</v>
      </c>
      <c r="E49" s="30" t="s">
        <v>241</v>
      </c>
      <c r="F49" s="30" t="s">
        <v>245</v>
      </c>
      <c r="G49" s="30" t="s">
        <v>243</v>
      </c>
      <c r="H49" s="30">
        <v>-17.585239999999999</v>
      </c>
      <c r="I49" s="30">
        <v>-52.552976000000001</v>
      </c>
      <c r="J49" s="30" t="s">
        <v>20</v>
      </c>
      <c r="K49" s="30">
        <v>1</v>
      </c>
      <c r="L49" s="30" t="s">
        <v>12</v>
      </c>
      <c r="M49" s="31" t="s">
        <v>8</v>
      </c>
      <c r="N49" s="31" t="s">
        <v>303</v>
      </c>
      <c r="O49" s="35" t="s">
        <v>296</v>
      </c>
      <c r="P49" s="35" t="s">
        <v>294</v>
      </c>
      <c r="Q49" s="35" t="s">
        <v>294</v>
      </c>
    </row>
    <row r="50" spans="1:17" ht="15.75" thickBot="1" x14ac:dyDescent="0.3">
      <c r="A50" s="32" t="s">
        <v>259</v>
      </c>
      <c r="B50" s="33" t="s">
        <v>246</v>
      </c>
      <c r="C50" s="33" t="s">
        <v>1</v>
      </c>
      <c r="D50" s="33" t="s">
        <v>240</v>
      </c>
      <c r="E50" s="33" t="s">
        <v>241</v>
      </c>
      <c r="F50" s="33" t="s">
        <v>247</v>
      </c>
      <c r="G50" s="33" t="s">
        <v>243</v>
      </c>
      <c r="H50" s="33">
        <v>-17.582388999999999</v>
      </c>
      <c r="I50" s="33">
        <v>-52.547170999999999</v>
      </c>
      <c r="J50" s="33" t="s">
        <v>20</v>
      </c>
      <c r="K50" s="33">
        <v>1</v>
      </c>
      <c r="L50" s="33" t="s">
        <v>12</v>
      </c>
      <c r="M50" s="34" t="s">
        <v>8</v>
      </c>
      <c r="N50" s="31" t="s">
        <v>303</v>
      </c>
      <c r="O50" s="35" t="s">
        <v>296</v>
      </c>
      <c r="P50" s="35" t="s">
        <v>294</v>
      </c>
      <c r="Q50" s="35" t="s">
        <v>294</v>
      </c>
    </row>
    <row r="51" spans="1:17" ht="15.75" thickBot="1" x14ac:dyDescent="0.3">
      <c r="A51" s="29" t="s">
        <v>259</v>
      </c>
      <c r="B51" s="30" t="s">
        <v>248</v>
      </c>
      <c r="C51" s="30" t="s">
        <v>1</v>
      </c>
      <c r="D51" s="30" t="s">
        <v>249</v>
      </c>
      <c r="E51" s="30" t="s">
        <v>250</v>
      </c>
      <c r="F51" s="30" t="s">
        <v>251</v>
      </c>
      <c r="G51" s="30" t="s">
        <v>192</v>
      </c>
      <c r="H51" s="30">
        <v>-16.434301000000001</v>
      </c>
      <c r="I51" s="30">
        <v>-51.108566000000003</v>
      </c>
      <c r="J51" s="30" t="s">
        <v>16</v>
      </c>
      <c r="K51" s="30">
        <v>1</v>
      </c>
      <c r="L51" s="30" t="s">
        <v>7</v>
      </c>
      <c r="M51" s="31" t="s">
        <v>8</v>
      </c>
      <c r="N51" s="31" t="s">
        <v>293</v>
      </c>
      <c r="O51" s="35" t="s">
        <v>296</v>
      </c>
      <c r="P51" s="35" t="s">
        <v>294</v>
      </c>
      <c r="Q51" s="35" t="s">
        <v>294</v>
      </c>
    </row>
    <row r="52" spans="1:17" ht="15.75" thickBot="1" x14ac:dyDescent="0.3">
      <c r="A52" s="32" t="s">
        <v>259</v>
      </c>
      <c r="B52" s="33" t="s">
        <v>252</v>
      </c>
      <c r="C52" s="33" t="s">
        <v>1</v>
      </c>
      <c r="D52" s="33" t="s">
        <v>249</v>
      </c>
      <c r="E52" s="33" t="s">
        <v>250</v>
      </c>
      <c r="F52" s="33" t="s">
        <v>253</v>
      </c>
      <c r="G52" s="33" t="s">
        <v>192</v>
      </c>
      <c r="H52" s="33">
        <v>-16.435043</v>
      </c>
      <c r="I52" s="33">
        <v>-51.108066999999998</v>
      </c>
      <c r="J52" s="33" t="s">
        <v>20</v>
      </c>
      <c r="K52" s="33">
        <v>1</v>
      </c>
      <c r="L52" s="33" t="s">
        <v>12</v>
      </c>
      <c r="M52" s="34" t="s">
        <v>8</v>
      </c>
      <c r="N52" s="31" t="s">
        <v>293</v>
      </c>
      <c r="O52" s="35" t="s">
        <v>296</v>
      </c>
      <c r="P52" s="35" t="s">
        <v>294</v>
      </c>
      <c r="Q52" s="35" t="s">
        <v>294</v>
      </c>
    </row>
    <row r="53" spans="1:17" ht="15.75" thickBot="1" x14ac:dyDescent="0.3">
      <c r="A53" s="29" t="s">
        <v>259</v>
      </c>
      <c r="B53" s="30" t="s">
        <v>254</v>
      </c>
      <c r="C53" s="30" t="s">
        <v>1</v>
      </c>
      <c r="D53" s="30" t="s">
        <v>249</v>
      </c>
      <c r="E53" s="30" t="s">
        <v>250</v>
      </c>
      <c r="F53" s="30" t="s">
        <v>255</v>
      </c>
      <c r="G53" s="30" t="s">
        <v>192</v>
      </c>
      <c r="H53" s="30">
        <v>-16.436737000000001</v>
      </c>
      <c r="I53" s="30">
        <v>-51.107647</v>
      </c>
      <c r="J53" s="30" t="s">
        <v>16</v>
      </c>
      <c r="K53" s="30">
        <v>1</v>
      </c>
      <c r="L53" s="30" t="s">
        <v>7</v>
      </c>
      <c r="M53" s="31" t="s">
        <v>8</v>
      </c>
      <c r="N53" s="31" t="s">
        <v>293</v>
      </c>
      <c r="O53" s="35" t="s">
        <v>296</v>
      </c>
      <c r="P53" s="35" t="s">
        <v>294</v>
      </c>
      <c r="Q53" s="35" t="s">
        <v>294</v>
      </c>
    </row>
    <row r="54" spans="1:17" ht="45.75" thickBot="1" x14ac:dyDescent="0.3">
      <c r="A54" s="32" t="s">
        <v>259</v>
      </c>
      <c r="B54" s="33" t="s">
        <v>282</v>
      </c>
      <c r="C54" s="33" t="s">
        <v>1</v>
      </c>
      <c r="D54" s="33" t="s">
        <v>256</v>
      </c>
      <c r="E54" s="33" t="s">
        <v>191</v>
      </c>
      <c r="F54" s="33" t="s">
        <v>257</v>
      </c>
      <c r="G54" s="30" t="s">
        <v>207</v>
      </c>
      <c r="H54" s="33">
        <v>-16379836</v>
      </c>
      <c r="I54" s="33" t="s">
        <v>306</v>
      </c>
      <c r="J54" s="33" t="s">
        <v>16</v>
      </c>
      <c r="K54" s="33">
        <v>1</v>
      </c>
      <c r="L54" s="33" t="s">
        <v>7</v>
      </c>
      <c r="M54" s="34" t="s">
        <v>8</v>
      </c>
      <c r="N54" s="31" t="s">
        <v>293</v>
      </c>
      <c r="O54" s="35" t="s">
        <v>295</v>
      </c>
      <c r="P54" s="35" t="s">
        <v>295</v>
      </c>
      <c r="Q54" s="35" t="s">
        <v>295</v>
      </c>
    </row>
    <row r="55" spans="1:17" ht="15.75" thickBot="1" x14ac:dyDescent="0.3">
      <c r="A55" s="38"/>
      <c r="B55" s="38"/>
      <c r="C55" s="37"/>
      <c r="D55" s="37"/>
      <c r="E55" s="37"/>
      <c r="F55" s="37"/>
      <c r="G55" s="37"/>
      <c r="H55" s="38"/>
      <c r="I55" s="38"/>
      <c r="J55" s="38"/>
      <c r="K55" s="38"/>
      <c r="L55" s="38"/>
      <c r="M55" s="38"/>
      <c r="N55" s="37"/>
      <c r="O55" s="37"/>
      <c r="P55" s="37"/>
      <c r="Q55" s="37"/>
    </row>
    <row r="56" spans="1:17" ht="15.75" thickBot="1" x14ac:dyDescent="0.3">
      <c r="A56" s="38"/>
      <c r="B56" s="38"/>
      <c r="C56" s="37"/>
      <c r="D56" s="37"/>
      <c r="E56" s="37"/>
      <c r="F56" s="37"/>
      <c r="G56" s="37"/>
      <c r="H56" s="38"/>
      <c r="I56" s="38"/>
      <c r="J56" s="38"/>
      <c r="K56" s="38"/>
      <c r="L56" s="38"/>
      <c r="M56" s="38"/>
      <c r="N56" s="37"/>
      <c r="O56" s="37"/>
      <c r="P56" s="37"/>
      <c r="Q56" s="37"/>
    </row>
    <row r="57" spans="1:17" ht="15.75" thickBot="1" x14ac:dyDescent="0.3">
      <c r="A57" s="38"/>
      <c r="B57" s="38"/>
      <c r="C57" s="37"/>
      <c r="D57" s="37"/>
      <c r="E57" s="37"/>
      <c r="F57" s="37"/>
      <c r="G57" s="37"/>
      <c r="H57" s="38"/>
      <c r="I57" s="38"/>
      <c r="J57" s="38"/>
      <c r="K57" s="38"/>
      <c r="L57" s="38"/>
      <c r="M57" s="38"/>
      <c r="N57" s="37"/>
      <c r="O57" s="37"/>
      <c r="P57" s="37"/>
      <c r="Q57" s="37"/>
    </row>
    <row r="58" spans="1:17" ht="15.75" thickBot="1" x14ac:dyDescent="0.3">
      <c r="A58" s="38"/>
      <c r="B58" s="38"/>
      <c r="C58" s="37"/>
      <c r="D58" s="37"/>
      <c r="E58" s="37"/>
      <c r="F58" s="37"/>
      <c r="G58" s="37"/>
      <c r="H58" s="38"/>
      <c r="I58" s="38"/>
      <c r="J58" s="38"/>
      <c r="K58" s="38"/>
      <c r="L58" s="38"/>
      <c r="M58" s="38"/>
      <c r="N58" s="37"/>
      <c r="O58" s="37"/>
      <c r="P58" s="37"/>
      <c r="Q58" s="37"/>
    </row>
    <row r="59" spans="1:17" ht="15.75" thickBot="1" x14ac:dyDescent="0.3">
      <c r="A59" s="38"/>
      <c r="B59" s="38"/>
      <c r="C59" s="37"/>
      <c r="D59" s="37"/>
      <c r="E59" s="37"/>
      <c r="F59" s="37"/>
      <c r="G59" s="37"/>
      <c r="H59" s="38"/>
      <c r="I59" s="38"/>
      <c r="J59" s="38"/>
      <c r="K59" s="38"/>
      <c r="L59" s="38"/>
      <c r="M59" s="38"/>
      <c r="N59" s="37"/>
      <c r="O59" s="37"/>
      <c r="P59" s="37"/>
      <c r="Q59" s="37"/>
    </row>
    <row r="60" spans="1:17" ht="15.75" thickBot="1" x14ac:dyDescent="0.3">
      <c r="A60" s="38"/>
      <c r="B60" s="38"/>
      <c r="C60" s="37"/>
      <c r="D60" s="37"/>
      <c r="E60" s="37"/>
      <c r="F60" s="37"/>
      <c r="G60" s="37"/>
      <c r="H60" s="38"/>
      <c r="I60" s="38"/>
      <c r="J60" s="38"/>
      <c r="K60" s="38"/>
      <c r="L60" s="38"/>
      <c r="M60" s="38"/>
      <c r="N60" s="37"/>
      <c r="O60" s="37"/>
      <c r="P60" s="37"/>
      <c r="Q60" s="37"/>
    </row>
    <row r="61" spans="1:17" ht="15.75" thickBot="1" x14ac:dyDescent="0.3">
      <c r="A61" s="38"/>
      <c r="B61" s="38"/>
      <c r="C61" s="37"/>
      <c r="D61" s="37"/>
      <c r="E61" s="37"/>
      <c r="F61" s="37"/>
      <c r="G61" s="37"/>
      <c r="H61" s="38"/>
      <c r="I61" s="38"/>
      <c r="J61" s="38"/>
      <c r="K61" s="38"/>
      <c r="L61" s="38"/>
      <c r="M61" s="38"/>
      <c r="N61" s="37"/>
      <c r="O61" s="37"/>
      <c r="P61" s="37"/>
      <c r="Q61" s="37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EEBF-5CE6-4946-B69C-87A6F1242F1C}">
  <dimension ref="A1:C35"/>
  <sheetViews>
    <sheetView workbookViewId="0">
      <selection activeCell="A6" sqref="A6"/>
    </sheetView>
  </sheetViews>
  <sheetFormatPr defaultRowHeight="15" x14ac:dyDescent="0.25"/>
  <cols>
    <col min="1" max="1" width="19.5703125" bestFit="1" customWidth="1"/>
    <col min="2" max="2" width="20.5703125" style="18" bestFit="1" customWidth="1"/>
    <col min="3" max="3" width="9.7109375" style="18" bestFit="1" customWidth="1"/>
    <col min="4" max="4" width="9.7109375" bestFit="1" customWidth="1"/>
    <col min="5" max="5" width="29.85546875" customWidth="1"/>
  </cols>
  <sheetData>
    <row r="1" spans="1:3" x14ac:dyDescent="0.25">
      <c r="A1" s="15" t="s">
        <v>265</v>
      </c>
      <c r="B1" t="s">
        <v>259</v>
      </c>
    </row>
    <row r="3" spans="1:3" x14ac:dyDescent="0.25">
      <c r="A3" s="15" t="s">
        <v>279</v>
      </c>
      <c r="B3" s="19" t="s">
        <v>280</v>
      </c>
    </row>
    <row r="4" spans="1:3" x14ac:dyDescent="0.25">
      <c r="A4" s="15" t="s">
        <v>277</v>
      </c>
      <c r="B4" s="18" t="s">
        <v>1</v>
      </c>
      <c r="C4" t="s">
        <v>278</v>
      </c>
    </row>
    <row r="5" spans="1:3" x14ac:dyDescent="0.25">
      <c r="A5" s="16" t="s">
        <v>258</v>
      </c>
      <c r="B5" s="18">
        <v>2</v>
      </c>
      <c r="C5">
        <v>2</v>
      </c>
    </row>
    <row r="6" spans="1:3" x14ac:dyDescent="0.25">
      <c r="A6" s="17" t="s">
        <v>276</v>
      </c>
      <c r="B6" s="18">
        <v>2</v>
      </c>
      <c r="C6">
        <v>2</v>
      </c>
    </row>
    <row r="7" spans="1:3" x14ac:dyDescent="0.25">
      <c r="A7" s="16" t="s">
        <v>207</v>
      </c>
      <c r="B7" s="18">
        <v>2</v>
      </c>
      <c r="C7">
        <v>2</v>
      </c>
    </row>
    <row r="8" spans="1:3" x14ac:dyDescent="0.25">
      <c r="A8" s="17" t="s">
        <v>204</v>
      </c>
      <c r="B8" s="18">
        <v>2</v>
      </c>
      <c r="C8">
        <v>2</v>
      </c>
    </row>
    <row r="9" spans="1:3" x14ac:dyDescent="0.25">
      <c r="A9" s="16" t="s">
        <v>233</v>
      </c>
      <c r="B9" s="18">
        <v>2</v>
      </c>
      <c r="C9">
        <v>2</v>
      </c>
    </row>
    <row r="10" spans="1:3" x14ac:dyDescent="0.25">
      <c r="A10" s="16" t="s">
        <v>196</v>
      </c>
      <c r="B10" s="18">
        <v>1</v>
      </c>
      <c r="C10">
        <v>1</v>
      </c>
    </row>
    <row r="11" spans="1:3" x14ac:dyDescent="0.25">
      <c r="A11" s="16" t="s">
        <v>203</v>
      </c>
      <c r="B11" s="18">
        <v>2</v>
      </c>
      <c r="C11">
        <v>2</v>
      </c>
    </row>
    <row r="12" spans="1:3" x14ac:dyDescent="0.25">
      <c r="A12" s="16" t="s">
        <v>192</v>
      </c>
      <c r="B12" s="18">
        <v>5</v>
      </c>
      <c r="C12">
        <v>5</v>
      </c>
    </row>
    <row r="13" spans="1:3" x14ac:dyDescent="0.25">
      <c r="A13" s="16" t="s">
        <v>238</v>
      </c>
      <c r="B13" s="18">
        <v>2</v>
      </c>
      <c r="C13">
        <v>2</v>
      </c>
    </row>
    <row r="14" spans="1:3" x14ac:dyDescent="0.25">
      <c r="A14" s="16" t="s">
        <v>243</v>
      </c>
      <c r="B14" s="18">
        <v>3</v>
      </c>
      <c r="C14">
        <v>3</v>
      </c>
    </row>
    <row r="15" spans="1:3" x14ac:dyDescent="0.25">
      <c r="A15" s="16" t="s">
        <v>218</v>
      </c>
      <c r="B15" s="18">
        <v>2</v>
      </c>
      <c r="C15">
        <v>2</v>
      </c>
    </row>
    <row r="16" spans="1:3" x14ac:dyDescent="0.25">
      <c r="A16" s="16" t="s">
        <v>225</v>
      </c>
      <c r="B16" s="18">
        <v>2</v>
      </c>
      <c r="C16">
        <v>2</v>
      </c>
    </row>
    <row r="17" spans="1:3" x14ac:dyDescent="0.25">
      <c r="A17" s="16" t="s">
        <v>195</v>
      </c>
      <c r="B17" s="18">
        <v>2</v>
      </c>
      <c r="C17">
        <v>2</v>
      </c>
    </row>
    <row r="18" spans="1:3" x14ac:dyDescent="0.25">
      <c r="A18" s="16" t="s">
        <v>211</v>
      </c>
      <c r="B18" s="18">
        <v>1</v>
      </c>
      <c r="C18">
        <v>1</v>
      </c>
    </row>
    <row r="19" spans="1:3" x14ac:dyDescent="0.25">
      <c r="A19" s="16" t="s">
        <v>278</v>
      </c>
      <c r="B19" s="18">
        <v>26</v>
      </c>
      <c r="C19">
        <v>26</v>
      </c>
    </row>
    <row r="20" spans="1:3" x14ac:dyDescent="0.25">
      <c r="B20"/>
      <c r="C20"/>
    </row>
    <row r="21" spans="1:3" x14ac:dyDescent="0.25">
      <c r="B21"/>
      <c r="C21"/>
    </row>
    <row r="22" spans="1:3" x14ac:dyDescent="0.25">
      <c r="B22"/>
      <c r="C22"/>
    </row>
    <row r="23" spans="1:3" x14ac:dyDescent="0.25">
      <c r="B23"/>
      <c r="C23"/>
    </row>
    <row r="24" spans="1:3" x14ac:dyDescent="0.25">
      <c r="B24"/>
      <c r="C24"/>
    </row>
    <row r="25" spans="1:3" x14ac:dyDescent="0.25">
      <c r="B25"/>
      <c r="C25"/>
    </row>
    <row r="26" spans="1:3" x14ac:dyDescent="0.25">
      <c r="B26"/>
      <c r="C26"/>
    </row>
    <row r="27" spans="1:3" x14ac:dyDescent="0.25">
      <c r="B27"/>
      <c r="C27"/>
    </row>
    <row r="28" spans="1:3" x14ac:dyDescent="0.25">
      <c r="B28"/>
      <c r="C28"/>
    </row>
    <row r="29" spans="1:3" x14ac:dyDescent="0.25">
      <c r="B29"/>
      <c r="C29"/>
    </row>
    <row r="30" spans="1:3" x14ac:dyDescent="0.25">
      <c r="B30"/>
      <c r="C30"/>
    </row>
    <row r="31" spans="1:3" x14ac:dyDescent="0.25">
      <c r="B31"/>
      <c r="C31"/>
    </row>
    <row r="32" spans="1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C9A0-9F71-4A0C-953D-0DA8A6A85389}">
  <dimension ref="A1:E20"/>
  <sheetViews>
    <sheetView workbookViewId="0">
      <selection activeCell="A23" sqref="A23"/>
    </sheetView>
  </sheetViews>
  <sheetFormatPr defaultRowHeight="15" x14ac:dyDescent="0.25"/>
  <cols>
    <col min="1" max="1" width="19.5703125" bestFit="1" customWidth="1"/>
    <col min="2" max="2" width="19.5703125" style="18" bestFit="1" customWidth="1"/>
    <col min="3" max="3" width="11" style="18" customWidth="1"/>
    <col min="4" max="4" width="9.7109375" bestFit="1" customWidth="1"/>
    <col min="5" max="5" width="29.85546875" customWidth="1"/>
  </cols>
  <sheetData>
    <row r="1" spans="1:5" x14ac:dyDescent="0.25">
      <c r="A1" s="15" t="s">
        <v>265</v>
      </c>
      <c r="B1" s="18" t="s">
        <v>261</v>
      </c>
    </row>
    <row r="3" spans="1:5" x14ac:dyDescent="0.25">
      <c r="A3" s="15" t="s">
        <v>279</v>
      </c>
      <c r="B3" s="19" t="s">
        <v>280</v>
      </c>
    </row>
    <row r="4" spans="1:5" x14ac:dyDescent="0.25">
      <c r="A4" s="15" t="s">
        <v>277</v>
      </c>
      <c r="B4" s="18" t="s">
        <v>51</v>
      </c>
      <c r="C4" s="18" t="s">
        <v>1</v>
      </c>
      <c r="D4" t="s">
        <v>278</v>
      </c>
    </row>
    <row r="5" spans="1:5" x14ac:dyDescent="0.25">
      <c r="A5" s="16" t="s">
        <v>38</v>
      </c>
      <c r="B5" s="18">
        <v>1</v>
      </c>
      <c r="C5" s="18">
        <v>13</v>
      </c>
      <c r="D5">
        <v>14</v>
      </c>
    </row>
    <row r="6" spans="1:5" x14ac:dyDescent="0.25">
      <c r="A6" s="16" t="s">
        <v>58</v>
      </c>
      <c r="C6" s="18">
        <v>2</v>
      </c>
      <c r="D6">
        <v>2</v>
      </c>
    </row>
    <row r="7" spans="1:5" x14ac:dyDescent="0.25">
      <c r="A7" s="16" t="s">
        <v>27</v>
      </c>
      <c r="C7" s="18">
        <v>2</v>
      </c>
      <c r="D7">
        <v>2</v>
      </c>
    </row>
    <row r="8" spans="1:5" x14ac:dyDescent="0.25">
      <c r="A8" s="16" t="s">
        <v>5</v>
      </c>
      <c r="B8" s="18">
        <v>2</v>
      </c>
      <c r="C8" s="18">
        <v>9</v>
      </c>
      <c r="D8">
        <v>11</v>
      </c>
    </row>
    <row r="9" spans="1:5" x14ac:dyDescent="0.25">
      <c r="A9" s="17" t="s">
        <v>0</v>
      </c>
      <c r="C9" s="18">
        <v>2</v>
      </c>
      <c r="D9">
        <v>2</v>
      </c>
    </row>
    <row r="10" spans="1:5" x14ac:dyDescent="0.25">
      <c r="A10" s="17" t="s">
        <v>9</v>
      </c>
      <c r="C10" s="18">
        <v>2</v>
      </c>
      <c r="D10">
        <v>2</v>
      </c>
    </row>
    <row r="11" spans="1:5" x14ac:dyDescent="0.25">
      <c r="A11" s="17" t="s">
        <v>13</v>
      </c>
      <c r="C11" s="18">
        <v>1</v>
      </c>
      <c r="D11">
        <v>1</v>
      </c>
    </row>
    <row r="12" spans="1:5" x14ac:dyDescent="0.25">
      <c r="A12" s="17" t="s">
        <v>18</v>
      </c>
      <c r="C12" s="18">
        <v>1</v>
      </c>
      <c r="D12">
        <v>1</v>
      </c>
    </row>
    <row r="13" spans="1:5" x14ac:dyDescent="0.25">
      <c r="A13" s="17" t="s">
        <v>21</v>
      </c>
      <c r="C13" s="18">
        <v>2</v>
      </c>
      <c r="D13">
        <v>2</v>
      </c>
    </row>
    <row r="14" spans="1:5" x14ac:dyDescent="0.25">
      <c r="A14" s="20" t="s">
        <v>59</v>
      </c>
      <c r="B14" s="21">
        <v>2</v>
      </c>
      <c r="C14" s="21"/>
      <c r="D14" s="22">
        <v>2</v>
      </c>
      <c r="E14" t="s">
        <v>281</v>
      </c>
    </row>
    <row r="15" spans="1:5" x14ac:dyDescent="0.25">
      <c r="A15" s="20" t="s">
        <v>63</v>
      </c>
      <c r="B15" s="21"/>
      <c r="C15" s="21">
        <v>1</v>
      </c>
      <c r="D15" s="22">
        <v>1</v>
      </c>
      <c r="E15" t="s">
        <v>281</v>
      </c>
    </row>
    <row r="16" spans="1:5" x14ac:dyDescent="0.25">
      <c r="A16" s="16" t="s">
        <v>31</v>
      </c>
      <c r="C16" s="18">
        <v>2</v>
      </c>
      <c r="D16">
        <v>2</v>
      </c>
    </row>
    <row r="17" spans="1:5" x14ac:dyDescent="0.25">
      <c r="A17" s="17" t="s">
        <v>28</v>
      </c>
      <c r="C17" s="18">
        <v>2</v>
      </c>
      <c r="D17">
        <v>2</v>
      </c>
    </row>
    <row r="18" spans="1:5" x14ac:dyDescent="0.25">
      <c r="A18" s="16" t="s">
        <v>71</v>
      </c>
      <c r="C18" s="18">
        <v>2</v>
      </c>
      <c r="D18">
        <v>2</v>
      </c>
    </row>
    <row r="19" spans="1:5" x14ac:dyDescent="0.25">
      <c r="A19" s="20" t="s">
        <v>67</v>
      </c>
      <c r="B19" s="21"/>
      <c r="C19" s="21">
        <v>2</v>
      </c>
      <c r="D19" s="22">
        <v>2</v>
      </c>
      <c r="E19" t="s">
        <v>281</v>
      </c>
    </row>
    <row r="20" spans="1:5" x14ac:dyDescent="0.25">
      <c r="A20" s="16" t="s">
        <v>278</v>
      </c>
      <c r="B20" s="18">
        <v>3</v>
      </c>
      <c r="C20" s="18">
        <v>30</v>
      </c>
      <c r="D20">
        <v>33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6AE8-9671-4496-AE53-432A352E5DB0}">
  <dimension ref="A1:M22"/>
  <sheetViews>
    <sheetView workbookViewId="0">
      <selection activeCell="Q8" sqref="Q8"/>
    </sheetView>
  </sheetViews>
  <sheetFormatPr defaultRowHeight="15" x14ac:dyDescent="0.25"/>
  <cols>
    <col min="2" max="2" width="15.5703125" customWidth="1"/>
  </cols>
  <sheetData>
    <row r="1" spans="1:13" ht="60.75" thickBot="1" x14ac:dyDescent="0.3">
      <c r="A1" t="s">
        <v>265</v>
      </c>
      <c r="B1" s="14" t="s">
        <v>74</v>
      </c>
      <c r="C1" s="14" t="s">
        <v>75</v>
      </c>
      <c r="D1" s="14" t="s">
        <v>76</v>
      </c>
      <c r="E1" s="14" t="s">
        <v>77</v>
      </c>
      <c r="F1" s="14" t="s">
        <v>78</v>
      </c>
      <c r="G1" s="14" t="s">
        <v>79</v>
      </c>
      <c r="H1" s="14" t="s">
        <v>80</v>
      </c>
      <c r="I1" s="14" t="s">
        <v>81</v>
      </c>
      <c r="J1" s="14" t="s">
        <v>82</v>
      </c>
      <c r="K1" s="14" t="s">
        <v>83</v>
      </c>
      <c r="L1" s="14" t="s">
        <v>84</v>
      </c>
      <c r="M1" s="14" t="s">
        <v>85</v>
      </c>
    </row>
    <row r="2" spans="1:13" ht="30.75" thickBot="1" x14ac:dyDescent="0.3">
      <c r="A2" t="s">
        <v>261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>
        <v>-16.012187999999998</v>
      </c>
      <c r="I2" s="1">
        <v>-49.799067999999998</v>
      </c>
      <c r="J2" s="1" t="s">
        <v>6</v>
      </c>
      <c r="K2" s="1">
        <v>2</v>
      </c>
      <c r="L2" s="1" t="s">
        <v>7</v>
      </c>
      <c r="M2" s="1" t="s">
        <v>8</v>
      </c>
    </row>
    <row r="3" spans="1:13" ht="30.75" thickBot="1" x14ac:dyDescent="0.3">
      <c r="A3" t="s">
        <v>261</v>
      </c>
      <c r="B3" s="1" t="s">
        <v>9</v>
      </c>
      <c r="C3" s="1" t="s">
        <v>1</v>
      </c>
      <c r="D3" s="1" t="s">
        <v>2</v>
      </c>
      <c r="E3" s="1" t="s">
        <v>3</v>
      </c>
      <c r="F3" s="1" t="s">
        <v>10</v>
      </c>
      <c r="G3" s="1" t="s">
        <v>5</v>
      </c>
      <c r="H3" s="1">
        <v>-16.007830999999999</v>
      </c>
      <c r="I3" s="1">
        <v>-49.795772999999997</v>
      </c>
      <c r="J3" s="1" t="s">
        <v>11</v>
      </c>
      <c r="K3" s="1">
        <v>2</v>
      </c>
      <c r="L3" s="1" t="s">
        <v>12</v>
      </c>
      <c r="M3" s="1" t="s">
        <v>8</v>
      </c>
    </row>
    <row r="4" spans="1:13" ht="30.75" thickBot="1" x14ac:dyDescent="0.3">
      <c r="A4" t="s">
        <v>261</v>
      </c>
      <c r="B4" s="1" t="s">
        <v>13</v>
      </c>
      <c r="C4" s="1" t="s">
        <v>1</v>
      </c>
      <c r="D4" s="1" t="s">
        <v>14</v>
      </c>
      <c r="E4" s="1" t="s">
        <v>3</v>
      </c>
      <c r="F4" s="1" t="s">
        <v>15</v>
      </c>
      <c r="G4" s="1" t="s">
        <v>5</v>
      </c>
      <c r="H4" s="1">
        <v>-15.997681999999999</v>
      </c>
      <c r="I4" s="1">
        <v>-49.788994000000002</v>
      </c>
      <c r="J4" s="1" t="s">
        <v>16</v>
      </c>
      <c r="K4" s="1">
        <v>1</v>
      </c>
      <c r="L4" s="1" t="s">
        <v>7</v>
      </c>
      <c r="M4" s="1" t="s">
        <v>17</v>
      </c>
    </row>
    <row r="5" spans="1:13" ht="30.75" thickBot="1" x14ac:dyDescent="0.3">
      <c r="A5" t="s">
        <v>261</v>
      </c>
      <c r="B5" s="1" t="s">
        <v>18</v>
      </c>
      <c r="C5" s="1" t="s">
        <v>1</v>
      </c>
      <c r="D5" s="1" t="s">
        <v>14</v>
      </c>
      <c r="E5" s="1" t="s">
        <v>3</v>
      </c>
      <c r="F5" s="1" t="s">
        <v>19</v>
      </c>
      <c r="G5" s="1" t="s">
        <v>5</v>
      </c>
      <c r="H5" s="1">
        <v>-15.996573</v>
      </c>
      <c r="I5" s="1">
        <v>-49.789042999999999</v>
      </c>
      <c r="J5" s="1" t="s">
        <v>20</v>
      </c>
      <c r="K5" s="1">
        <v>1</v>
      </c>
      <c r="L5" s="1" t="s">
        <v>12</v>
      </c>
      <c r="M5" s="1" t="s">
        <v>17</v>
      </c>
    </row>
    <row r="6" spans="1:13" ht="30.75" thickBot="1" x14ac:dyDescent="0.3">
      <c r="A6" t="s">
        <v>261</v>
      </c>
      <c r="B6" s="1" t="s">
        <v>21</v>
      </c>
      <c r="C6" s="1" t="s">
        <v>1</v>
      </c>
      <c r="D6" s="1" t="s">
        <v>14</v>
      </c>
      <c r="E6" s="1" t="s">
        <v>3</v>
      </c>
      <c r="F6" s="1" t="s">
        <v>22</v>
      </c>
      <c r="G6" s="1" t="s">
        <v>5</v>
      </c>
      <c r="H6" s="1">
        <v>-15.924687</v>
      </c>
      <c r="I6" s="1">
        <v>-49.790208</v>
      </c>
      <c r="J6" s="1" t="s">
        <v>20</v>
      </c>
      <c r="K6" s="1">
        <v>1</v>
      </c>
      <c r="L6" s="1" t="s">
        <v>12</v>
      </c>
      <c r="M6" s="1" t="s">
        <v>8</v>
      </c>
    </row>
    <row r="7" spans="1:13" ht="30.75" thickBot="1" x14ac:dyDescent="0.3">
      <c r="A7" t="s">
        <v>261</v>
      </c>
      <c r="B7" s="1" t="s">
        <v>21</v>
      </c>
      <c r="C7" s="1" t="s">
        <v>1</v>
      </c>
      <c r="D7" s="1" t="s">
        <v>14</v>
      </c>
      <c r="E7" s="1" t="s">
        <v>3</v>
      </c>
      <c r="F7" s="1" t="s">
        <v>23</v>
      </c>
      <c r="G7" s="1" t="s">
        <v>5</v>
      </c>
      <c r="H7" s="1">
        <v>-15.924492000000001</v>
      </c>
      <c r="I7" s="1">
        <v>-49.790162000000002</v>
      </c>
      <c r="J7" s="1" t="s">
        <v>16</v>
      </c>
      <c r="K7" s="1">
        <v>1</v>
      </c>
      <c r="L7" s="1" t="s">
        <v>7</v>
      </c>
      <c r="M7" s="1" t="s">
        <v>8</v>
      </c>
    </row>
    <row r="8" spans="1:13" ht="30.75" thickBot="1" x14ac:dyDescent="0.3">
      <c r="A8" t="s">
        <v>261</v>
      </c>
      <c r="B8" s="1" t="s">
        <v>24</v>
      </c>
      <c r="C8" s="1" t="s">
        <v>1</v>
      </c>
      <c r="D8" s="1" t="s">
        <v>25</v>
      </c>
      <c r="E8" s="1" t="s">
        <v>3</v>
      </c>
      <c r="F8" s="1" t="s">
        <v>26</v>
      </c>
      <c r="G8" s="1" t="s">
        <v>27</v>
      </c>
      <c r="H8" s="1">
        <v>-15.717552</v>
      </c>
      <c r="I8" s="1">
        <v>-49.825437000000001</v>
      </c>
      <c r="J8" s="1" t="s">
        <v>11</v>
      </c>
      <c r="K8" s="1">
        <v>2</v>
      </c>
      <c r="L8" s="1" t="s">
        <v>12</v>
      </c>
      <c r="M8" s="1" t="s">
        <v>8</v>
      </c>
    </row>
    <row r="9" spans="1:13" ht="45.75" thickBot="1" x14ac:dyDescent="0.3">
      <c r="A9" t="s">
        <v>261</v>
      </c>
      <c r="B9" s="1" t="s">
        <v>28</v>
      </c>
      <c r="C9" s="1" t="s">
        <v>1</v>
      </c>
      <c r="D9" s="1" t="s">
        <v>29</v>
      </c>
      <c r="E9" s="1" t="s">
        <v>3</v>
      </c>
      <c r="F9" s="1" t="s">
        <v>30</v>
      </c>
      <c r="G9" s="1" t="s">
        <v>31</v>
      </c>
      <c r="H9" s="1">
        <v>-15.557323</v>
      </c>
      <c r="I9" s="1">
        <v>-49.930905000000003</v>
      </c>
      <c r="J9" s="1" t="s">
        <v>32</v>
      </c>
      <c r="K9" s="1">
        <v>2</v>
      </c>
      <c r="L9" s="1" t="s">
        <v>33</v>
      </c>
      <c r="M9" s="1" t="s">
        <v>8</v>
      </c>
    </row>
    <row r="10" spans="1:13" ht="45.75" thickBot="1" x14ac:dyDescent="0.3">
      <c r="A10" t="s">
        <v>261</v>
      </c>
      <c r="B10" s="1" t="s">
        <v>34</v>
      </c>
      <c r="C10" s="1" t="s">
        <v>1</v>
      </c>
      <c r="D10" s="1" t="s">
        <v>35</v>
      </c>
      <c r="E10" s="1" t="s">
        <v>36</v>
      </c>
      <c r="F10" s="1" t="s">
        <v>37</v>
      </c>
      <c r="G10" s="1" t="s">
        <v>38</v>
      </c>
      <c r="H10" s="1">
        <v>-15.958902999999999</v>
      </c>
      <c r="I10" s="1">
        <v>-50.131144999999997</v>
      </c>
      <c r="J10" s="1" t="s">
        <v>11</v>
      </c>
      <c r="K10" s="1">
        <v>2</v>
      </c>
      <c r="L10" s="1" t="s">
        <v>12</v>
      </c>
      <c r="M10" s="1" t="s">
        <v>8</v>
      </c>
    </row>
    <row r="11" spans="1:13" ht="45.75" thickBot="1" x14ac:dyDescent="0.3">
      <c r="A11" t="s">
        <v>261</v>
      </c>
      <c r="B11" s="1" t="s">
        <v>39</v>
      </c>
      <c r="C11" s="1" t="s">
        <v>1</v>
      </c>
      <c r="D11" s="1" t="s">
        <v>35</v>
      </c>
      <c r="E11" s="1" t="s">
        <v>36</v>
      </c>
      <c r="F11" s="1" t="s">
        <v>40</v>
      </c>
      <c r="G11" s="1" t="s">
        <v>38</v>
      </c>
      <c r="H11" s="1">
        <v>-15.948729999999999</v>
      </c>
      <c r="I11" s="1">
        <v>-50.130623</v>
      </c>
      <c r="J11" s="1" t="s">
        <v>20</v>
      </c>
      <c r="K11" s="1">
        <v>1</v>
      </c>
      <c r="L11" s="1" t="s">
        <v>12</v>
      </c>
      <c r="M11" s="1" t="s">
        <v>8</v>
      </c>
    </row>
    <row r="12" spans="1:13" ht="45.75" thickBot="1" x14ac:dyDescent="0.3">
      <c r="A12" t="s">
        <v>261</v>
      </c>
      <c r="B12" s="1" t="s">
        <v>39</v>
      </c>
      <c r="C12" s="1" t="s">
        <v>1</v>
      </c>
      <c r="D12" s="1" t="s">
        <v>35</v>
      </c>
      <c r="E12" s="1" t="s">
        <v>36</v>
      </c>
      <c r="F12" s="1" t="s">
        <v>41</v>
      </c>
      <c r="G12" s="1" t="s">
        <v>38</v>
      </c>
      <c r="H12" s="1">
        <v>-15.94835</v>
      </c>
      <c r="I12" s="1">
        <v>-50.130645999999999</v>
      </c>
      <c r="J12" s="1" t="s">
        <v>6</v>
      </c>
      <c r="K12" s="1">
        <v>2</v>
      </c>
      <c r="L12" s="1" t="s">
        <v>7</v>
      </c>
      <c r="M12" s="1" t="s">
        <v>8</v>
      </c>
    </row>
    <row r="13" spans="1:13" ht="45.75" thickBot="1" x14ac:dyDescent="0.3">
      <c r="A13" t="s">
        <v>261</v>
      </c>
      <c r="B13" s="1" t="s">
        <v>42</v>
      </c>
      <c r="C13" s="1" t="s">
        <v>1</v>
      </c>
      <c r="D13" s="1" t="s">
        <v>35</v>
      </c>
      <c r="E13" s="1" t="s">
        <v>36</v>
      </c>
      <c r="F13" s="1" t="s">
        <v>43</v>
      </c>
      <c r="G13" s="1" t="s">
        <v>38</v>
      </c>
      <c r="H13" s="1">
        <v>-15.946216</v>
      </c>
      <c r="I13" s="1">
        <v>-50.131278000000002</v>
      </c>
      <c r="J13" s="1" t="s">
        <v>6</v>
      </c>
      <c r="K13" s="1">
        <v>2</v>
      </c>
      <c r="L13" s="1" t="s">
        <v>7</v>
      </c>
      <c r="M13" s="1" t="s">
        <v>8</v>
      </c>
    </row>
    <row r="14" spans="1:13" ht="45.75" thickBot="1" x14ac:dyDescent="0.3">
      <c r="A14" t="s">
        <v>261</v>
      </c>
      <c r="B14" s="1" t="s">
        <v>44</v>
      </c>
      <c r="C14" s="1" t="s">
        <v>1</v>
      </c>
      <c r="D14" s="1" t="s">
        <v>35</v>
      </c>
      <c r="E14" s="1" t="s">
        <v>36</v>
      </c>
      <c r="F14" s="1" t="s">
        <v>45</v>
      </c>
      <c r="G14" s="1" t="s">
        <v>38</v>
      </c>
      <c r="H14" s="1">
        <v>-15.946026</v>
      </c>
      <c r="I14" s="1">
        <v>-50.131489000000002</v>
      </c>
      <c r="J14" s="1" t="s">
        <v>11</v>
      </c>
      <c r="K14" s="1">
        <v>2</v>
      </c>
      <c r="L14" s="1" t="s">
        <v>12</v>
      </c>
      <c r="M14" s="1" t="s">
        <v>8</v>
      </c>
    </row>
    <row r="15" spans="1:13" ht="45.75" thickBot="1" x14ac:dyDescent="0.3">
      <c r="A15" t="s">
        <v>261</v>
      </c>
      <c r="B15" s="1" t="s">
        <v>46</v>
      </c>
      <c r="C15" s="1" t="s">
        <v>1</v>
      </c>
      <c r="D15" s="1" t="s">
        <v>35</v>
      </c>
      <c r="E15" s="1" t="s">
        <v>36</v>
      </c>
      <c r="F15" s="1" t="s">
        <v>47</v>
      </c>
      <c r="G15" s="1" t="s">
        <v>38</v>
      </c>
      <c r="H15" s="1">
        <v>-15.944747</v>
      </c>
      <c r="I15" s="1">
        <v>-50.13176</v>
      </c>
      <c r="J15" s="1" t="s">
        <v>6</v>
      </c>
      <c r="K15" s="1">
        <v>2</v>
      </c>
      <c r="L15" s="1" t="s">
        <v>7</v>
      </c>
      <c r="M15" s="1" t="s">
        <v>8</v>
      </c>
    </row>
    <row r="16" spans="1:13" ht="45.75" thickBot="1" x14ac:dyDescent="0.3">
      <c r="A16" t="s">
        <v>261</v>
      </c>
      <c r="B16" s="1" t="s">
        <v>48</v>
      </c>
      <c r="C16" s="1" t="s">
        <v>1</v>
      </c>
      <c r="D16" s="1" t="s">
        <v>35</v>
      </c>
      <c r="E16" s="1" t="s">
        <v>36</v>
      </c>
      <c r="F16" s="1" t="s">
        <v>49</v>
      </c>
      <c r="G16" s="1" t="s">
        <v>38</v>
      </c>
      <c r="H16" s="1">
        <v>-15.930934000000001</v>
      </c>
      <c r="I16" s="1">
        <v>-50.137450999999999</v>
      </c>
      <c r="J16" s="1" t="s">
        <v>32</v>
      </c>
      <c r="K16" s="1">
        <v>2</v>
      </c>
      <c r="L16" s="1" t="s">
        <v>33</v>
      </c>
      <c r="M16" s="1" t="s">
        <v>17</v>
      </c>
    </row>
    <row r="17" spans="1:13" ht="45.75" thickBot="1" x14ac:dyDescent="0.3">
      <c r="A17" t="s">
        <v>261</v>
      </c>
      <c r="B17" s="1" t="s">
        <v>50</v>
      </c>
      <c r="C17" s="1" t="s">
        <v>51</v>
      </c>
      <c r="D17" s="1" t="s">
        <v>52</v>
      </c>
      <c r="E17" s="1" t="s">
        <v>36</v>
      </c>
      <c r="F17" s="1" t="s">
        <v>53</v>
      </c>
      <c r="G17" s="1" t="s">
        <v>38</v>
      </c>
      <c r="H17" s="1">
        <v>-15.892329</v>
      </c>
      <c r="I17" s="1">
        <v>-50.10483</v>
      </c>
      <c r="J17" s="1" t="s">
        <v>20</v>
      </c>
      <c r="K17" s="1">
        <v>1</v>
      </c>
      <c r="L17" s="1" t="s">
        <v>12</v>
      </c>
      <c r="M17" s="1" t="s">
        <v>17</v>
      </c>
    </row>
    <row r="18" spans="1:13" ht="45.75" thickBot="1" x14ac:dyDescent="0.3">
      <c r="A18" t="s">
        <v>261</v>
      </c>
      <c r="B18" s="1" t="s">
        <v>54</v>
      </c>
      <c r="C18" s="1" t="s">
        <v>1</v>
      </c>
      <c r="D18" s="1" t="s">
        <v>55</v>
      </c>
      <c r="E18" s="1" t="s">
        <v>56</v>
      </c>
      <c r="F18" s="1" t="s">
        <v>57</v>
      </c>
      <c r="G18" s="1" t="s">
        <v>58</v>
      </c>
      <c r="H18" s="1">
        <v>-15.282467</v>
      </c>
      <c r="I18" s="1">
        <v>-49.134962000000002</v>
      </c>
      <c r="J18" s="1" t="s">
        <v>32</v>
      </c>
      <c r="K18" s="1">
        <v>2</v>
      </c>
      <c r="L18" s="1" t="s">
        <v>33</v>
      </c>
      <c r="M18" s="1" t="s">
        <v>17</v>
      </c>
    </row>
    <row r="19" spans="1:13" ht="45.75" thickBot="1" x14ac:dyDescent="0.3">
      <c r="A19" t="s">
        <v>261</v>
      </c>
      <c r="B19" s="1" t="s">
        <v>59</v>
      </c>
      <c r="C19" s="1" t="s">
        <v>51</v>
      </c>
      <c r="D19" s="1" t="s">
        <v>14</v>
      </c>
      <c r="E19" s="1" t="s">
        <v>3</v>
      </c>
      <c r="F19" s="1" t="s">
        <v>60</v>
      </c>
      <c r="G19" s="1" t="s">
        <v>5</v>
      </c>
      <c r="H19" s="1" t="s">
        <v>61</v>
      </c>
      <c r="I19" s="1" t="s">
        <v>62</v>
      </c>
      <c r="J19" s="1" t="s">
        <v>32</v>
      </c>
      <c r="K19" s="1">
        <v>2</v>
      </c>
      <c r="L19" s="1" t="s">
        <v>33</v>
      </c>
      <c r="M19" s="1" t="s">
        <v>17</v>
      </c>
    </row>
    <row r="20" spans="1:13" ht="45.75" thickBot="1" x14ac:dyDescent="0.3">
      <c r="A20" t="s">
        <v>261</v>
      </c>
      <c r="B20" s="1" t="s">
        <v>63</v>
      </c>
      <c r="C20" s="1" t="s">
        <v>1</v>
      </c>
      <c r="D20" s="1" t="s">
        <v>14</v>
      </c>
      <c r="E20" s="1" t="s">
        <v>3</v>
      </c>
      <c r="F20" s="1" t="s">
        <v>64</v>
      </c>
      <c r="G20" s="1" t="s">
        <v>5</v>
      </c>
      <c r="H20" s="1" t="s">
        <v>65</v>
      </c>
      <c r="I20" s="1" t="s">
        <v>66</v>
      </c>
      <c r="J20" s="1" t="s">
        <v>20</v>
      </c>
      <c r="K20" s="1">
        <v>1</v>
      </c>
      <c r="L20" s="1" t="s">
        <v>12</v>
      </c>
      <c r="M20" s="1" t="s">
        <v>8</v>
      </c>
    </row>
    <row r="21" spans="1:13" ht="45.75" thickBot="1" x14ac:dyDescent="0.3">
      <c r="A21" t="s">
        <v>261</v>
      </c>
      <c r="B21" s="1" t="s">
        <v>67</v>
      </c>
      <c r="C21" s="1" t="s">
        <v>1</v>
      </c>
      <c r="D21" s="1" t="s">
        <v>68</v>
      </c>
      <c r="E21" s="1" t="s">
        <v>69</v>
      </c>
      <c r="F21" s="1" t="s">
        <v>70</v>
      </c>
      <c r="G21" s="1" t="s">
        <v>71</v>
      </c>
      <c r="H21" s="1" t="s">
        <v>72</v>
      </c>
      <c r="I21" s="1" t="s">
        <v>73</v>
      </c>
      <c r="J21" s="1" t="s">
        <v>16</v>
      </c>
      <c r="K21" s="1">
        <v>1</v>
      </c>
      <c r="L21" s="1" t="s">
        <v>7</v>
      </c>
      <c r="M21" s="1" t="s">
        <v>17</v>
      </c>
    </row>
    <row r="22" spans="1:13" ht="45.75" thickBot="1" x14ac:dyDescent="0.3">
      <c r="A22" t="s">
        <v>261</v>
      </c>
      <c r="B22" s="1" t="s">
        <v>67</v>
      </c>
      <c r="C22" s="1" t="s">
        <v>1</v>
      </c>
      <c r="D22" s="1" t="s">
        <v>68</v>
      </c>
      <c r="E22" s="1" t="s">
        <v>69</v>
      </c>
      <c r="F22" s="1" t="s">
        <v>262</v>
      </c>
      <c r="G22" s="1" t="s">
        <v>71</v>
      </c>
      <c r="H22" s="1" t="s">
        <v>263</v>
      </c>
      <c r="I22" s="1" t="s">
        <v>264</v>
      </c>
      <c r="J22" s="1" t="s">
        <v>20</v>
      </c>
      <c r="K22" s="1">
        <v>1</v>
      </c>
      <c r="L22" s="1" t="s">
        <v>12</v>
      </c>
      <c r="M22" s="1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16A5-29CF-4791-8C54-3580E5B27D1E}">
  <dimension ref="A1:M2"/>
  <sheetViews>
    <sheetView workbookViewId="0">
      <selection activeCell="K9" sqref="K9"/>
    </sheetView>
  </sheetViews>
  <sheetFormatPr defaultRowHeight="15" x14ac:dyDescent="0.25"/>
  <cols>
    <col min="2" max="2" width="17.42578125" customWidth="1"/>
  </cols>
  <sheetData>
    <row r="1" spans="1:13" ht="63.75" thickBot="1" x14ac:dyDescent="0.3">
      <c r="A1" t="s">
        <v>265</v>
      </c>
      <c r="B1" s="2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4" t="s">
        <v>85</v>
      </c>
    </row>
    <row r="2" spans="1:13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A601-EFEB-4CDB-9229-92A7850DBFF1}">
  <dimension ref="A1:M2"/>
  <sheetViews>
    <sheetView workbookViewId="0">
      <selection activeCell="A2" sqref="A2:XFD5"/>
    </sheetView>
  </sheetViews>
  <sheetFormatPr defaultRowHeight="15" x14ac:dyDescent="0.25"/>
  <cols>
    <col min="1" max="1" width="17.5703125" customWidth="1"/>
  </cols>
  <sheetData>
    <row r="1" spans="1:13" ht="63.75" thickBot="1" x14ac:dyDescent="0.3">
      <c r="A1" t="s">
        <v>265</v>
      </c>
      <c r="B1" s="2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4" t="s">
        <v>85</v>
      </c>
    </row>
    <row r="2" spans="1:13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0817-880F-45E1-BB0D-D8353C2362C3}">
  <dimension ref="A1:M2"/>
  <sheetViews>
    <sheetView workbookViewId="0">
      <selection activeCell="A2" sqref="A2:XFD34"/>
    </sheetView>
  </sheetViews>
  <sheetFormatPr defaultRowHeight="15" x14ac:dyDescent="0.25"/>
  <cols>
    <col min="1" max="1" width="17.42578125" customWidth="1"/>
  </cols>
  <sheetData>
    <row r="1" spans="1:13" ht="60.75" thickBot="1" x14ac:dyDescent="0.3">
      <c r="A1" t="s">
        <v>265</v>
      </c>
      <c r="B1" s="8" t="s">
        <v>74</v>
      </c>
      <c r="C1" s="9" t="s">
        <v>75</v>
      </c>
      <c r="D1" s="9" t="s">
        <v>76</v>
      </c>
      <c r="E1" s="9" t="s">
        <v>77</v>
      </c>
      <c r="F1" s="9" t="s">
        <v>78</v>
      </c>
      <c r="G1" s="9" t="s">
        <v>79</v>
      </c>
      <c r="H1" s="9" t="s">
        <v>189</v>
      </c>
      <c r="I1" s="9" t="s">
        <v>190</v>
      </c>
      <c r="J1" s="9" t="s">
        <v>82</v>
      </c>
      <c r="K1" s="9" t="s">
        <v>83</v>
      </c>
      <c r="L1" s="9" t="s">
        <v>84</v>
      </c>
      <c r="M1" s="10" t="s">
        <v>85</v>
      </c>
    </row>
    <row r="2" spans="1:13" ht="15.75" thickTop="1" x14ac:dyDescent="0.25"/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CFCF-54C1-418B-8854-FB5E4E710D62}">
  <dimension ref="A1:M3"/>
  <sheetViews>
    <sheetView workbookViewId="0">
      <selection activeCell="A2" sqref="A2:M3"/>
    </sheetView>
  </sheetViews>
  <sheetFormatPr defaultRowHeight="15" x14ac:dyDescent="0.25"/>
  <cols>
    <col min="1" max="1" width="19.28515625" customWidth="1"/>
  </cols>
  <sheetData>
    <row r="1" spans="1:13" ht="63.75" thickBot="1" x14ac:dyDescent="0.3">
      <c r="A1" t="s">
        <v>265</v>
      </c>
      <c r="B1" s="2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4" t="s">
        <v>85</v>
      </c>
    </row>
    <row r="2" spans="1:13" ht="31.5" thickTop="1" thickBot="1" x14ac:dyDescent="0.3">
      <c r="A2" t="s">
        <v>270</v>
      </c>
      <c r="B2" s="6" t="s">
        <v>266</v>
      </c>
      <c r="C2" s="5" t="s">
        <v>51</v>
      </c>
      <c r="D2" s="5" t="s">
        <v>227</v>
      </c>
      <c r="E2" s="5" t="s">
        <v>228</v>
      </c>
      <c r="F2" s="5" t="s">
        <v>267</v>
      </c>
      <c r="G2" s="5" t="s">
        <v>192</v>
      </c>
      <c r="H2" s="5">
        <v>-16.463206660000001</v>
      </c>
      <c r="I2" s="5">
        <v>-51.126543990000002</v>
      </c>
      <c r="J2" s="5" t="s">
        <v>16</v>
      </c>
      <c r="K2" s="5">
        <v>1</v>
      </c>
      <c r="L2" s="5" t="s">
        <v>7</v>
      </c>
      <c r="M2" s="7" t="s">
        <v>158</v>
      </c>
    </row>
    <row r="3" spans="1:13" ht="30.75" thickBot="1" x14ac:dyDescent="0.3">
      <c r="A3" t="s">
        <v>270</v>
      </c>
      <c r="B3" s="11" t="s">
        <v>268</v>
      </c>
      <c r="C3" s="12" t="s">
        <v>51</v>
      </c>
      <c r="D3" s="12" t="s">
        <v>227</v>
      </c>
      <c r="E3" s="12" t="s">
        <v>228</v>
      </c>
      <c r="F3" s="12" t="s">
        <v>269</v>
      </c>
      <c r="G3" s="12" t="s">
        <v>192</v>
      </c>
      <c r="H3" s="12">
        <v>-16.463207929999999</v>
      </c>
      <c r="I3" s="12">
        <v>-51.126544279999997</v>
      </c>
      <c r="J3" s="12" t="s">
        <v>20</v>
      </c>
      <c r="K3" s="12">
        <v>1</v>
      </c>
      <c r="L3" s="12" t="s">
        <v>12</v>
      </c>
      <c r="M3" s="13" t="s">
        <v>158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739F-8D00-4FA8-8F25-E1B8617BA68A}">
  <dimension ref="A1:M2"/>
  <sheetViews>
    <sheetView workbookViewId="0">
      <selection activeCell="A2" sqref="A2:M20"/>
    </sheetView>
  </sheetViews>
  <sheetFormatPr defaultRowHeight="15" x14ac:dyDescent="0.25"/>
  <cols>
    <col min="1" max="1" width="18.85546875" customWidth="1"/>
    <col min="2" max="2" width="14.7109375" customWidth="1"/>
  </cols>
  <sheetData>
    <row r="1" spans="1:13" ht="63.75" thickBot="1" x14ac:dyDescent="0.3">
      <c r="A1" t="s">
        <v>265</v>
      </c>
      <c r="B1" s="2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4" t="s">
        <v>85</v>
      </c>
    </row>
    <row r="2" spans="1:13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NIs_GOINFRA</vt:lpstr>
      <vt:lpstr>3ªNI_Análise</vt:lpstr>
      <vt:lpstr>4ªNI_Análise</vt:lpstr>
      <vt:lpstr>4ª NI 148</vt:lpstr>
      <vt:lpstr>3ª NI 148</vt:lpstr>
      <vt:lpstr>2ª NI 148</vt:lpstr>
      <vt:lpstr>1 NI 150</vt:lpstr>
      <vt:lpstr>2ª NI  150</vt:lpstr>
      <vt:lpstr>3 NI 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 Lixinski</dc:creator>
  <cp:lastModifiedBy>Tainara Sulidario</cp:lastModifiedBy>
  <dcterms:created xsi:type="dcterms:W3CDTF">2026-03-15T14:45:25Z</dcterms:created>
  <dcterms:modified xsi:type="dcterms:W3CDTF">2026-03-19T18:02:59Z</dcterms:modified>
</cp:coreProperties>
</file>